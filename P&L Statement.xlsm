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filterPrivacy="1" codeName="ThisWorkbook" defaultThemeVersion="124226"/>
  <xr:revisionPtr revIDLastSave="0" documentId="13_ncr:1_{6506C876-FCC3-4329-AC08-D54C466CDE2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Analysis" sheetId="24" r:id="rId1"/>
    <sheet name="P&amp;L statement" sheetId="21" r:id="rId2"/>
    <sheet name="1. P&amp;L extractions --&gt;" sheetId="5" r:id="rId3"/>
    <sheet name="Database" sheetId="10" r:id="rId4"/>
    <sheet name="1.1 FY2016" sheetId="1" r:id="rId5"/>
    <sheet name="1.2 FY2017" sheetId="2" r:id="rId6"/>
    <sheet name="1.3 FY2018" sheetId="3" r:id="rId7"/>
  </sheets>
  <definedNames>
    <definedName name="_xlnm._FilterDatabase" localSheetId="4" hidden="1">'1.1 FY2016'!$C$4:$G$61</definedName>
    <definedName name="_xlnm._FilterDatabase" localSheetId="5" hidden="1">'1.2 FY2017'!$C$4:$G$86</definedName>
    <definedName name="_xlnm._FilterDatabase" localSheetId="6" hidden="1">'1.3 FY2018'!$C$4:$G$78</definedName>
    <definedName name="_xlnm._FilterDatabase" localSheetId="3" hidden="1">Database!$B$3:$I$108</definedName>
    <definedName name="_xlchart.v1.0" hidden="1">'P&amp;L statement'!$B$9</definedName>
    <definedName name="_xlchart.v1.1" hidden="1">'P&amp;L statement'!$C$3:$E$3</definedName>
    <definedName name="_xlchart.v1.10" hidden="1">'P&amp;L statement'!$B$17</definedName>
    <definedName name="_xlchart.v1.11" hidden="1">'P&amp;L statement'!$B$18</definedName>
    <definedName name="_xlchart.v1.12" hidden="1">'P&amp;L statement'!$B$19</definedName>
    <definedName name="_xlchart.v1.13" hidden="1">'P&amp;L statement'!$B$20</definedName>
    <definedName name="_xlchart.v1.14" hidden="1">'P&amp;L statement'!$B$21</definedName>
    <definedName name="_xlchart.v1.15" hidden="1">'P&amp;L statement'!$B$22</definedName>
    <definedName name="_xlchart.v1.16" hidden="1">'P&amp;L statement'!$B$23</definedName>
    <definedName name="_xlchart.v1.17" hidden="1">'P&amp;L statement'!$B$24</definedName>
    <definedName name="_xlchart.v1.18" hidden="1">'P&amp;L statement'!$B$4</definedName>
    <definedName name="_xlchart.v1.19" hidden="1">'P&amp;L statement'!$B$5</definedName>
    <definedName name="_xlchart.v1.2" hidden="1">'P&amp;L statement'!$C$9:$E$9</definedName>
    <definedName name="_xlchart.v1.20" hidden="1">'P&amp;L statement'!$B$6</definedName>
    <definedName name="_xlchart.v1.21" hidden="1">'P&amp;L statement'!$B$7</definedName>
    <definedName name="_xlchart.v1.22" hidden="1">'P&amp;L statement'!$B$8</definedName>
    <definedName name="_xlchart.v1.23" hidden="1">'P&amp;L statement'!$B$9</definedName>
    <definedName name="_xlchart.v1.24" hidden="1">'P&amp;L statement'!$C$10:$E$10</definedName>
    <definedName name="_xlchart.v1.25" hidden="1">'P&amp;L statement'!$C$11:$E$11</definedName>
    <definedName name="_xlchart.v1.26" hidden="1">'P&amp;L statement'!$C$12:$E$12</definedName>
    <definedName name="_xlchart.v1.27" hidden="1">'P&amp;L statement'!$C$13:$E$13</definedName>
    <definedName name="_xlchart.v1.28" hidden="1">'P&amp;L statement'!$C$14:$E$14</definedName>
    <definedName name="_xlchart.v1.29" hidden="1">'P&amp;L statement'!$C$15:$E$15</definedName>
    <definedName name="_xlchart.v1.3" hidden="1">'P&amp;L statement'!$B$10</definedName>
    <definedName name="_xlchart.v1.30" hidden="1">'P&amp;L statement'!$C$16:$E$16</definedName>
    <definedName name="_xlchart.v1.31" hidden="1">'P&amp;L statement'!$C$17:$E$17</definedName>
    <definedName name="_xlchart.v1.32" hidden="1">'P&amp;L statement'!$C$18:$E$18</definedName>
    <definedName name="_xlchart.v1.33" hidden="1">'P&amp;L statement'!$C$19:$E$19</definedName>
    <definedName name="_xlchart.v1.34" hidden="1">'P&amp;L statement'!$C$20:$E$20</definedName>
    <definedName name="_xlchart.v1.35" hidden="1">'P&amp;L statement'!$C$21:$E$21</definedName>
    <definedName name="_xlchart.v1.36" hidden="1">'P&amp;L statement'!$C$22:$E$22</definedName>
    <definedName name="_xlchart.v1.37" hidden="1">'P&amp;L statement'!$C$23:$E$23</definedName>
    <definedName name="_xlchart.v1.38" hidden="1">'P&amp;L statement'!$C$24:$E$24</definedName>
    <definedName name="_xlchart.v1.39" hidden="1">'P&amp;L statement'!$C$3:$E$3</definedName>
    <definedName name="_xlchart.v1.4" hidden="1">'P&amp;L statement'!$B$11</definedName>
    <definedName name="_xlchart.v1.40" hidden="1">'P&amp;L statement'!$C$4:$E$4</definedName>
    <definedName name="_xlchart.v1.41" hidden="1">'P&amp;L statement'!$C$5:$E$5</definedName>
    <definedName name="_xlchart.v1.42" hidden="1">'P&amp;L statement'!$C$6:$E$6</definedName>
    <definedName name="_xlchart.v1.43" hidden="1">'P&amp;L statement'!$C$7:$E$7</definedName>
    <definedName name="_xlchart.v1.44" hidden="1">'P&amp;L statement'!$C$8:$E$8</definedName>
    <definedName name="_xlchart.v1.45" hidden="1">'P&amp;L statement'!$C$9:$E$9</definedName>
    <definedName name="_xlchart.v1.46" hidden="1">'P&amp;L statement'!$B$9</definedName>
    <definedName name="_xlchart.v1.47" hidden="1">'P&amp;L statement'!$C$3:$E$3</definedName>
    <definedName name="_xlchart.v1.48" hidden="1">'P&amp;L statement'!$C$9:$E$9</definedName>
    <definedName name="_xlchart.v1.5" hidden="1">'P&amp;L statement'!$B$12</definedName>
    <definedName name="_xlchart.v1.6" hidden="1">'P&amp;L statement'!$B$13</definedName>
    <definedName name="_xlchart.v1.7" hidden="1">'P&amp;L statement'!$B$14</definedName>
    <definedName name="_xlchart.v1.8" hidden="1">'P&amp;L statement'!$B$15</definedName>
    <definedName name="_xlchart.v1.9" hidden="1">'P&amp;L statement'!$B$16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5" i="1"/>
  <c r="H94" i="10" l="1"/>
  <c r="G94" i="10"/>
  <c r="F94" i="10"/>
  <c r="H60" i="10"/>
  <c r="G60" i="10"/>
  <c r="F60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108" i="10"/>
  <c r="D108" i="10"/>
  <c r="C108" i="10"/>
  <c r="I108" i="10" s="1"/>
  <c r="E107" i="10"/>
  <c r="D107" i="10"/>
  <c r="C107" i="10"/>
  <c r="I107" i="10" s="1"/>
  <c r="E106" i="10"/>
  <c r="D106" i="10"/>
  <c r="C106" i="10"/>
  <c r="I106" i="10" s="1"/>
  <c r="E105" i="10"/>
  <c r="D105" i="10"/>
  <c r="C105" i="10"/>
  <c r="I105" i="10" s="1"/>
  <c r="E104" i="10"/>
  <c r="D104" i="10"/>
  <c r="C104" i="10"/>
  <c r="I104" i="10" s="1"/>
  <c r="E103" i="10"/>
  <c r="D103" i="10"/>
  <c r="C103" i="10"/>
  <c r="I103" i="10" s="1"/>
  <c r="E102" i="10"/>
  <c r="D102" i="10"/>
  <c r="C102" i="10"/>
  <c r="I102" i="10" s="1"/>
  <c r="E101" i="10"/>
  <c r="D101" i="10"/>
  <c r="C101" i="10"/>
  <c r="I101" i="10" s="1"/>
  <c r="E100" i="10"/>
  <c r="D100" i="10"/>
  <c r="C100" i="10"/>
  <c r="I100" i="10" s="1"/>
  <c r="E99" i="10"/>
  <c r="D99" i="10"/>
  <c r="C99" i="10"/>
  <c r="I99" i="10" s="1"/>
  <c r="E98" i="10"/>
  <c r="D98" i="10"/>
  <c r="C98" i="10"/>
  <c r="I98" i="10" s="1"/>
  <c r="E97" i="10"/>
  <c r="D97" i="10"/>
  <c r="C97" i="10"/>
  <c r="I97" i="10" s="1"/>
  <c r="E96" i="10"/>
  <c r="D96" i="10"/>
  <c r="C96" i="10"/>
  <c r="I96" i="10" s="1"/>
  <c r="E95" i="10"/>
  <c r="D95" i="10"/>
  <c r="C95" i="10"/>
  <c r="I95" i="10" s="1"/>
  <c r="E94" i="10"/>
  <c r="D94" i="10"/>
  <c r="C94" i="10"/>
  <c r="I94" i="10" s="1"/>
  <c r="E93" i="10"/>
  <c r="D93" i="10"/>
  <c r="C93" i="10"/>
  <c r="I93" i="10" s="1"/>
  <c r="E92" i="10"/>
  <c r="D92" i="10"/>
  <c r="C92" i="10"/>
  <c r="I92" i="10" s="1"/>
  <c r="E91" i="10"/>
  <c r="D91" i="10"/>
  <c r="C91" i="10"/>
  <c r="I91" i="10" s="1"/>
  <c r="E90" i="10"/>
  <c r="D90" i="10"/>
  <c r="C90" i="10"/>
  <c r="I90" i="10" s="1"/>
  <c r="E89" i="10"/>
  <c r="D89" i="10"/>
  <c r="C89" i="10"/>
  <c r="I89" i="10" s="1"/>
  <c r="E88" i="10"/>
  <c r="D88" i="10"/>
  <c r="C88" i="10"/>
  <c r="I88" i="10" s="1"/>
  <c r="E87" i="10"/>
  <c r="D87" i="10"/>
  <c r="C87" i="10"/>
  <c r="I87" i="10" s="1"/>
  <c r="E86" i="10"/>
  <c r="D86" i="10"/>
  <c r="C86" i="10"/>
  <c r="I86" i="10" s="1"/>
  <c r="E85" i="10"/>
  <c r="D85" i="10"/>
  <c r="C85" i="10"/>
  <c r="I85" i="10" s="1"/>
  <c r="E84" i="10"/>
  <c r="D84" i="10"/>
  <c r="C84" i="10"/>
  <c r="I84" i="10" s="1"/>
  <c r="E83" i="10"/>
  <c r="D83" i="10"/>
  <c r="C83" i="10"/>
  <c r="I83" i="10" s="1"/>
  <c r="E82" i="10"/>
  <c r="D82" i="10"/>
  <c r="C82" i="10"/>
  <c r="I82" i="10" s="1"/>
  <c r="E81" i="10"/>
  <c r="D81" i="10"/>
  <c r="C81" i="10"/>
  <c r="I81" i="10" s="1"/>
  <c r="E80" i="10"/>
  <c r="D80" i="10"/>
  <c r="C80" i="10"/>
  <c r="I80" i="10" s="1"/>
  <c r="E79" i="10"/>
  <c r="D79" i="10"/>
  <c r="C79" i="10"/>
  <c r="I79" i="10" s="1"/>
  <c r="E78" i="10"/>
  <c r="D78" i="10"/>
  <c r="C78" i="10"/>
  <c r="I78" i="10" s="1"/>
  <c r="E77" i="10"/>
  <c r="D77" i="10"/>
  <c r="C77" i="10"/>
  <c r="I77" i="10" s="1"/>
  <c r="E76" i="10"/>
  <c r="D76" i="10"/>
  <c r="C76" i="10"/>
  <c r="I76" i="10" s="1"/>
  <c r="E75" i="10"/>
  <c r="D75" i="10"/>
  <c r="C75" i="10"/>
  <c r="I75" i="10" s="1"/>
  <c r="E74" i="10"/>
  <c r="D74" i="10"/>
  <c r="C74" i="10"/>
  <c r="I74" i="10" s="1"/>
  <c r="E73" i="10"/>
  <c r="D73" i="10"/>
  <c r="C73" i="10"/>
  <c r="I73" i="10" s="1"/>
  <c r="E72" i="10"/>
  <c r="D72" i="10"/>
  <c r="C72" i="10"/>
  <c r="I72" i="10" s="1"/>
  <c r="E71" i="10"/>
  <c r="D71" i="10"/>
  <c r="C71" i="10"/>
  <c r="I71" i="10" s="1"/>
  <c r="E70" i="10"/>
  <c r="D70" i="10"/>
  <c r="C70" i="10"/>
  <c r="I70" i="10" s="1"/>
  <c r="E69" i="10"/>
  <c r="D69" i="10"/>
  <c r="C69" i="10"/>
  <c r="I69" i="10" s="1"/>
  <c r="E68" i="10"/>
  <c r="D68" i="10"/>
  <c r="C68" i="10"/>
  <c r="I68" i="10" s="1"/>
  <c r="E67" i="10"/>
  <c r="D67" i="10"/>
  <c r="C67" i="10"/>
  <c r="I67" i="10" s="1"/>
  <c r="E66" i="10"/>
  <c r="D66" i="10"/>
  <c r="C66" i="10"/>
  <c r="I66" i="10" s="1"/>
  <c r="E65" i="10"/>
  <c r="D65" i="10"/>
  <c r="C65" i="10"/>
  <c r="I65" i="10" s="1"/>
  <c r="E64" i="10"/>
  <c r="D64" i="10"/>
  <c r="C64" i="10"/>
  <c r="I64" i="10" s="1"/>
  <c r="E63" i="10"/>
  <c r="D63" i="10"/>
  <c r="C63" i="10"/>
  <c r="I63" i="10" s="1"/>
  <c r="E62" i="10"/>
  <c r="D62" i="10"/>
  <c r="C62" i="10"/>
  <c r="I62" i="10" s="1"/>
  <c r="E61" i="10"/>
  <c r="D61" i="10"/>
  <c r="C61" i="10"/>
  <c r="I61" i="10" s="1"/>
  <c r="C5" i="10"/>
  <c r="I5" i="10" s="1"/>
  <c r="D5" i="10"/>
  <c r="E5" i="10"/>
  <c r="C6" i="10"/>
  <c r="I6" i="10" s="1"/>
  <c r="D6" i="10"/>
  <c r="E6" i="10"/>
  <c r="C7" i="10"/>
  <c r="I7" i="10" s="1"/>
  <c r="D7" i="10"/>
  <c r="E7" i="10"/>
  <c r="C8" i="10"/>
  <c r="I8" i="10" s="1"/>
  <c r="D8" i="10"/>
  <c r="E8" i="10"/>
  <c r="C9" i="10"/>
  <c r="I9" i="10" s="1"/>
  <c r="D9" i="10"/>
  <c r="E9" i="10"/>
  <c r="C10" i="10"/>
  <c r="I10" i="10" s="1"/>
  <c r="D10" i="10"/>
  <c r="E10" i="10"/>
  <c r="C11" i="10"/>
  <c r="I11" i="10" s="1"/>
  <c r="D11" i="10"/>
  <c r="E11" i="10"/>
  <c r="C12" i="10"/>
  <c r="I12" i="10" s="1"/>
  <c r="D12" i="10"/>
  <c r="E12" i="10"/>
  <c r="C13" i="10"/>
  <c r="I13" i="10" s="1"/>
  <c r="D13" i="10"/>
  <c r="E13" i="10"/>
  <c r="C14" i="10"/>
  <c r="I14" i="10" s="1"/>
  <c r="D14" i="10"/>
  <c r="E14" i="10"/>
  <c r="C15" i="10"/>
  <c r="I15" i="10" s="1"/>
  <c r="D15" i="10"/>
  <c r="E15" i="10"/>
  <c r="C16" i="10"/>
  <c r="I16" i="10" s="1"/>
  <c r="D16" i="10"/>
  <c r="E16" i="10"/>
  <c r="C17" i="10"/>
  <c r="I17" i="10" s="1"/>
  <c r="D17" i="10"/>
  <c r="E17" i="10"/>
  <c r="C18" i="10"/>
  <c r="I18" i="10" s="1"/>
  <c r="D18" i="10"/>
  <c r="E18" i="10"/>
  <c r="C19" i="10"/>
  <c r="I19" i="10" s="1"/>
  <c r="D19" i="10"/>
  <c r="E19" i="10"/>
  <c r="C20" i="10"/>
  <c r="I20" i="10" s="1"/>
  <c r="D20" i="10"/>
  <c r="E20" i="10"/>
  <c r="C21" i="10"/>
  <c r="I21" i="10" s="1"/>
  <c r="D21" i="10"/>
  <c r="E21" i="10"/>
  <c r="C22" i="10"/>
  <c r="I22" i="10" s="1"/>
  <c r="D22" i="10"/>
  <c r="E22" i="10"/>
  <c r="C23" i="10"/>
  <c r="I23" i="10" s="1"/>
  <c r="D23" i="10"/>
  <c r="E23" i="10"/>
  <c r="C24" i="10"/>
  <c r="I24" i="10" s="1"/>
  <c r="D24" i="10"/>
  <c r="E24" i="10"/>
  <c r="C25" i="10"/>
  <c r="I25" i="10" s="1"/>
  <c r="D25" i="10"/>
  <c r="E25" i="10"/>
  <c r="C26" i="10"/>
  <c r="I26" i="10" s="1"/>
  <c r="D26" i="10"/>
  <c r="E26" i="10"/>
  <c r="C27" i="10"/>
  <c r="I27" i="10" s="1"/>
  <c r="D27" i="10"/>
  <c r="E27" i="10"/>
  <c r="C28" i="10"/>
  <c r="I28" i="10" s="1"/>
  <c r="D28" i="10"/>
  <c r="E28" i="10"/>
  <c r="C29" i="10"/>
  <c r="I29" i="10" s="1"/>
  <c r="D29" i="10"/>
  <c r="E29" i="10"/>
  <c r="C30" i="10"/>
  <c r="I30" i="10" s="1"/>
  <c r="D30" i="10"/>
  <c r="E30" i="10"/>
  <c r="C31" i="10"/>
  <c r="I31" i="10" s="1"/>
  <c r="D31" i="10"/>
  <c r="E31" i="10"/>
  <c r="C32" i="10"/>
  <c r="I32" i="10" s="1"/>
  <c r="D32" i="10"/>
  <c r="E32" i="10"/>
  <c r="C33" i="10"/>
  <c r="I33" i="10" s="1"/>
  <c r="D33" i="10"/>
  <c r="E33" i="10"/>
  <c r="C34" i="10"/>
  <c r="I34" i="10" s="1"/>
  <c r="D34" i="10"/>
  <c r="E34" i="10"/>
  <c r="C35" i="10"/>
  <c r="I35" i="10" s="1"/>
  <c r="D35" i="10"/>
  <c r="E35" i="10"/>
  <c r="C36" i="10"/>
  <c r="I36" i="10" s="1"/>
  <c r="D36" i="10"/>
  <c r="E36" i="10"/>
  <c r="C37" i="10"/>
  <c r="I37" i="10" s="1"/>
  <c r="D37" i="10"/>
  <c r="E37" i="10"/>
  <c r="C38" i="10"/>
  <c r="I38" i="10" s="1"/>
  <c r="D38" i="10"/>
  <c r="E38" i="10"/>
  <c r="C39" i="10"/>
  <c r="I39" i="10" s="1"/>
  <c r="D39" i="10"/>
  <c r="E39" i="10"/>
  <c r="C40" i="10"/>
  <c r="I40" i="10" s="1"/>
  <c r="D40" i="10"/>
  <c r="E40" i="10"/>
  <c r="C41" i="10"/>
  <c r="I41" i="10" s="1"/>
  <c r="D41" i="10"/>
  <c r="E41" i="10"/>
  <c r="C42" i="10"/>
  <c r="I42" i="10" s="1"/>
  <c r="D42" i="10"/>
  <c r="E42" i="10"/>
  <c r="C43" i="10"/>
  <c r="I43" i="10" s="1"/>
  <c r="D43" i="10"/>
  <c r="E43" i="10"/>
  <c r="C44" i="10"/>
  <c r="I44" i="10" s="1"/>
  <c r="D44" i="10"/>
  <c r="E44" i="10"/>
  <c r="C45" i="10"/>
  <c r="I45" i="10" s="1"/>
  <c r="D45" i="10"/>
  <c r="E45" i="10"/>
  <c r="C46" i="10"/>
  <c r="I46" i="10" s="1"/>
  <c r="D46" i="10"/>
  <c r="E46" i="10"/>
  <c r="C47" i="10"/>
  <c r="I47" i="10" s="1"/>
  <c r="D47" i="10"/>
  <c r="E47" i="10"/>
  <c r="C48" i="10"/>
  <c r="I48" i="10" s="1"/>
  <c r="D48" i="10"/>
  <c r="E48" i="10"/>
  <c r="C49" i="10"/>
  <c r="I49" i="10" s="1"/>
  <c r="D49" i="10"/>
  <c r="E49" i="10"/>
  <c r="C50" i="10"/>
  <c r="I50" i="10" s="1"/>
  <c r="D50" i="10"/>
  <c r="E50" i="10"/>
  <c r="C51" i="10"/>
  <c r="I51" i="10" s="1"/>
  <c r="D51" i="10"/>
  <c r="E51" i="10"/>
  <c r="C52" i="10"/>
  <c r="I52" i="10" s="1"/>
  <c r="D52" i="10"/>
  <c r="E52" i="10"/>
  <c r="C53" i="10"/>
  <c r="I53" i="10" s="1"/>
  <c r="D53" i="10"/>
  <c r="E53" i="10"/>
  <c r="C54" i="10"/>
  <c r="I54" i="10" s="1"/>
  <c r="D54" i="10"/>
  <c r="E54" i="10"/>
  <c r="C55" i="10"/>
  <c r="I55" i="10" s="1"/>
  <c r="D55" i="10"/>
  <c r="E55" i="10"/>
  <c r="C56" i="10"/>
  <c r="I56" i="10" s="1"/>
  <c r="D56" i="10"/>
  <c r="E56" i="10"/>
  <c r="C57" i="10"/>
  <c r="I57" i="10" s="1"/>
  <c r="D57" i="10"/>
  <c r="E57" i="10"/>
  <c r="C58" i="10"/>
  <c r="I58" i="10" s="1"/>
  <c r="D58" i="10"/>
  <c r="E58" i="10"/>
  <c r="C59" i="10"/>
  <c r="I59" i="10" s="1"/>
  <c r="D59" i="10"/>
  <c r="E59" i="10"/>
  <c r="C60" i="10"/>
  <c r="I60" i="10" s="1"/>
  <c r="D60" i="10"/>
  <c r="E60" i="10"/>
  <c r="E4" i="10"/>
  <c r="D4" i="10"/>
  <c r="C4" i="10"/>
  <c r="I4" i="10" s="1"/>
  <c r="E21" i="21" l="1"/>
  <c r="E23" i="21"/>
  <c r="E5" i="21"/>
  <c r="E11" i="21"/>
  <c r="D14" i="21"/>
  <c r="D20" i="21"/>
  <c r="E4" i="21"/>
  <c r="C6" i="21"/>
  <c r="D8" i="21"/>
  <c r="E10" i="21"/>
  <c r="C12" i="21"/>
  <c r="D13" i="21"/>
  <c r="E14" i="21"/>
  <c r="G14" i="21" s="1"/>
  <c r="C16" i="21"/>
  <c r="D18" i="21"/>
  <c r="E20" i="21"/>
  <c r="C23" i="21"/>
  <c r="D24" i="21"/>
  <c r="D4" i="21"/>
  <c r="D10" i="21"/>
  <c r="E15" i="21"/>
  <c r="C24" i="21"/>
  <c r="C5" i="21"/>
  <c r="D6" i="21"/>
  <c r="E8" i="21"/>
  <c r="G8" i="21" s="1"/>
  <c r="C11" i="21"/>
  <c r="D12" i="21"/>
  <c r="F12" i="21" s="1"/>
  <c r="E13" i="21"/>
  <c r="C15" i="21"/>
  <c r="D16" i="21"/>
  <c r="F16" i="21" s="1"/>
  <c r="E18" i="21"/>
  <c r="G18" i="21" s="1"/>
  <c r="C21" i="21"/>
  <c r="D23" i="21"/>
  <c r="F23" i="21" s="1"/>
  <c r="E24" i="21"/>
  <c r="G24" i="21" s="1"/>
  <c r="L9" i="21" s="1"/>
  <c r="C8" i="21"/>
  <c r="C13" i="21"/>
  <c r="C18" i="21"/>
  <c r="C4" i="21"/>
  <c r="D5" i="21"/>
  <c r="F5" i="21" s="1"/>
  <c r="E6" i="21"/>
  <c r="C10" i="21"/>
  <c r="D11" i="21"/>
  <c r="E12" i="21"/>
  <c r="C14" i="21"/>
  <c r="D15" i="21"/>
  <c r="F15" i="21" s="1"/>
  <c r="E16" i="21"/>
  <c r="C20" i="21"/>
  <c r="D21" i="21"/>
  <c r="F11" i="21" l="1"/>
  <c r="G12" i="21"/>
  <c r="G13" i="21"/>
  <c r="G16" i="21"/>
  <c r="G6" i="21"/>
  <c r="F6" i="21"/>
  <c r="F21" i="21"/>
  <c r="G20" i="21"/>
  <c r="F4" i="21"/>
  <c r="C7" i="21"/>
  <c r="C9" i="21" s="1"/>
  <c r="F10" i="21"/>
  <c r="F13" i="21"/>
  <c r="G11" i="21"/>
  <c r="D7" i="21"/>
  <c r="F18" i="21"/>
  <c r="G4" i="21"/>
  <c r="E7" i="21"/>
  <c r="G5" i="21"/>
  <c r="F24" i="21"/>
  <c r="K9" i="21" s="1"/>
  <c r="G10" i="21"/>
  <c r="F20" i="21"/>
  <c r="G23" i="21"/>
  <c r="G15" i="21"/>
  <c r="F8" i="21"/>
  <c r="F14" i="21"/>
  <c r="G21" i="21"/>
  <c r="C17" i="21" l="1"/>
  <c r="K12" i="21"/>
  <c r="E9" i="21"/>
  <c r="M12" i="21" s="1"/>
  <c r="G7" i="21"/>
  <c r="L4" i="21" s="1"/>
  <c r="D9" i="21"/>
  <c r="L12" i="21" s="1"/>
  <c r="F7" i="21"/>
  <c r="K4" i="21" s="1"/>
  <c r="C19" i="21" l="1"/>
  <c r="K13" i="21"/>
  <c r="G9" i="21"/>
  <c r="L5" i="21" s="1"/>
  <c r="E17" i="21"/>
  <c r="M13" i="21" s="1"/>
  <c r="D17" i="21"/>
  <c r="L13" i="21" s="1"/>
  <c r="F9" i="21"/>
  <c r="K5" i="21" s="1"/>
  <c r="C22" i="21" l="1"/>
  <c r="K14" i="21"/>
  <c r="E19" i="21"/>
  <c r="M14" i="21" s="1"/>
  <c r="G17" i="21"/>
  <c r="L6" i="21" s="1"/>
  <c r="D19" i="21"/>
  <c r="L14" i="21" s="1"/>
  <c r="F17" i="21"/>
  <c r="K6" i="21" s="1"/>
  <c r="E22" i="21" l="1"/>
  <c r="G19" i="21"/>
  <c r="L7" i="21" s="1"/>
  <c r="D22" i="21"/>
  <c r="F22" i="21" s="1"/>
  <c r="K8" i="21" s="1"/>
  <c r="F19" i="21"/>
  <c r="K7" i="21" s="1"/>
  <c r="G22" i="21" l="1"/>
  <c r="L8" i="21" s="1"/>
</calcChain>
</file>

<file path=xl/sharedStrings.xml><?xml version="1.0" encoding="utf-8"?>
<sst xmlns="http://schemas.openxmlformats.org/spreadsheetml/2006/main" count="955" uniqueCount="250">
  <si>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</si>
  <si>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</si>
  <si>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</si>
  <si>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</si>
  <si>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</si>
  <si>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</si>
  <si>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</si>
  <si>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</si>
  <si>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</si>
  <si>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</si>
  <si>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</si>
  <si>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</si>
  <si>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</si>
  <si>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</si>
  <si>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</si>
  <si>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</si>
  <si>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</si>
  <si>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</si>
  <si>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</si>
  <si>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</si>
  <si>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</si>
  <si>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</si>
  <si>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</si>
  <si>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</si>
  <si>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</si>
  <si>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</si>
  <si>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</si>
  <si>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</si>
  <si>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</si>
  <si>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</si>
  <si>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</si>
  <si>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</si>
  <si>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</si>
  <si>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</si>
  <si>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</si>
  <si>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</si>
  <si>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</si>
  <si>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</si>
  <si>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</si>
  <si>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</si>
  <si>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</si>
  <si>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</si>
  <si>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</si>
  <si>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</si>
  <si>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</si>
  <si>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</si>
  <si>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</si>
  <si>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</si>
  <si>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</si>
  <si>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</si>
  <si>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</si>
  <si>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</si>
  <si>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</si>
  <si>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</si>
  <si>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</si>
  <si>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</si>
  <si>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</si>
  <si>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</si>
  <si>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</si>
  <si>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</si>
  <si>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</si>
  <si>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</si>
  <si>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</si>
  <si>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</si>
  <si>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</si>
  <si>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</si>
  <si>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</si>
  <si>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</si>
  <si>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</si>
  <si>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</si>
  <si>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</si>
  <si>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</si>
  <si>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</si>
  <si>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</si>
  <si>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</si>
  <si>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</si>
  <si>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</si>
  <si>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</si>
  <si>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</si>
  <si>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</si>
  <si>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</si>
  <si>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</si>
  <si>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</si>
  <si>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</si>
  <si>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</si>
  <si>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</si>
  <si>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</si>
  <si>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</si>
  <si>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</si>
  <si>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</si>
  <si>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</si>
  <si>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</si>
  <si>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</si>
  <si>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</si>
  <si>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</si>
  <si>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</si>
  <si>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</si>
  <si>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</si>
  <si>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</si>
  <si>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</si>
  <si>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</si>
  <si>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</si>
  <si>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</si>
  <si>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</si>
  <si>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</si>
  <si>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</si>
  <si>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</si>
  <si>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</si>
  <si>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</si>
  <si>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</si>
  <si>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</si>
  <si>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</si>
  <si>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</si>
  <si>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</si>
  <si>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</si>
  <si>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</si>
  <si>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</si>
  <si>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</si>
  <si>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</si>
  <si>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</si>
  <si>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</si>
  <si>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</si>
  <si>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</si>
  <si>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</si>
  <si>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</si>
  <si>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</si>
  <si>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</si>
  <si>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</si>
  <si>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</si>
  <si>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</si>
  <si>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</si>
  <si>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</si>
  <si>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</si>
  <si>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</si>
  <si>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</si>
  <si>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</si>
  <si>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</si>
  <si>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</si>
  <si>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</si>
  <si>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</si>
  <si>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</si>
  <si>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</si>
  <si>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</si>
  <si>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</si>
  <si>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</si>
  <si>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</si>
  <si>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</si>
  <si>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</si>
  <si>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</si>
  <si>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</si>
  <si>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</si>
  <si>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</si>
  <si>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</si>
  <si>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</si>
  <si>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</si>
  <si>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</si>
  <si>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</si>
  <si>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</si>
  <si>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</si>
  <si>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</si>
  <si>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</si>
  <si>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</si>
  <si>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</si>
  <si>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</si>
  <si>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</si>
  <si>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</si>
  <si>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</si>
  <si>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</si>
  <si>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</si>
  <si>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</si>
  <si>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</si>
  <si>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</si>
  <si>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</si>
  <si>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</si>
  <si>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</si>
  <si>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</si>
  <si>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</si>
  <si>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</si>
  <si>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</si>
  <si>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</si>
  <si>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</si>
  <si>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</si>
  <si>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</si>
  <si>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</si>
  <si>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</si>
  <si>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</si>
  <si>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</si>
  <si>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</si>
  <si>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</si>
  <si>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</si>
  <si>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</si>
  <si>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</si>
  <si>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</si>
  <si>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</si>
  <si>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</si>
  <si>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</si>
  <si>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</si>
  <si>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</si>
  <si>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</si>
  <si>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</si>
  <si>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</si>
  <si>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</si>
  <si>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</si>
  <si>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</si>
  <si>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</si>
  <si>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</si>
  <si>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Why?</t>
  </si>
  <si>
    <t>Net Sales</t>
  </si>
  <si>
    <t>Sales arising from the firm’s core business activities</t>
  </si>
  <si>
    <t>Sales that are not generated as part of the firm’s core business activities</t>
  </si>
  <si>
    <t>A category of its own</t>
  </si>
  <si>
    <t>Other operating expenses</t>
  </si>
  <si>
    <t>Personnel expenses</t>
  </si>
  <si>
    <t>Personnel related</t>
  </si>
  <si>
    <t>Operating expenses that do not have their own category → Other operating expenses</t>
  </si>
  <si>
    <t>Recharges</t>
  </si>
  <si>
    <t>Services</t>
  </si>
  <si>
    <t>Travel costs</t>
  </si>
  <si>
    <t>-</t>
  </si>
  <si>
    <t>Empty</t>
  </si>
  <si>
    <t>Financial items</t>
  </si>
  <si>
    <t>Extraordinary items</t>
  </si>
  <si>
    <t>As the name suggests – non-recurring</t>
  </si>
  <si>
    <t>Taxes</t>
  </si>
  <si>
    <t>Tax related</t>
  </si>
  <si>
    <t>Interest income results from the investment of free funds → Financial items</t>
  </si>
  <si>
    <t>Interest expenses are paid as a result of corporate borrowings → Financial items</t>
  </si>
  <si>
    <t>Net Income</t>
  </si>
  <si>
    <t>Disposal of PP&amp;E is not a typical activity</t>
  </si>
  <si>
    <t>As indicated by the P&amp;L account, these are operating currency differences (costs)</t>
  </si>
  <si>
    <t>Gains from the sale of PP&amp;E are not a typical core activity → Extraordinary</t>
  </si>
  <si>
    <t>Property tax can be related to the property tax of the firm’s office → Operating expenses</t>
  </si>
  <si>
    <t>Impairments are not part of typical business activities → Extraordinary items</t>
  </si>
  <si>
    <t>Not Listed in Mapping</t>
  </si>
  <si>
    <t>P&amp;L Statement</t>
  </si>
  <si>
    <t>Euros in millions</t>
  </si>
  <si>
    <t>Total revenues</t>
  </si>
  <si>
    <t>Gross margin</t>
  </si>
  <si>
    <t>EBITDA</t>
  </si>
  <si>
    <t>EBIT</t>
  </si>
  <si>
    <t>EBT</t>
  </si>
  <si>
    <t>KPIs</t>
  </si>
  <si>
    <t>EBITDA%</t>
  </si>
  <si>
    <t>EBIT%</t>
  </si>
  <si>
    <t>Var % (FY16-17)</t>
  </si>
  <si>
    <t>Var %  (FY17-18)</t>
  </si>
  <si>
    <t>GM% (Gross Margin)</t>
  </si>
  <si>
    <t>Created a new column "Code" concatenating "Account number" and "Partner compay" to create a unique identifier</t>
  </si>
  <si>
    <t>Calculated Values using formula and mapped the related information using "Vlookup" and "Sumif function</t>
  </si>
  <si>
    <t>Created PLE Statement and generated values for respective entries using Sumif funtion and calculated Variance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</si>
</sst>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#,##0.0;\(#,##0.0\);&quot;-&quot;"/>
    <numFmt numFmtId="166" formatCode="#,##0;\(#,##0\);&quot;-&quot;"/>
  </numFmts>
  <fonts count="21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9"/>
      <color theme="3" tint="-0.499984740745262"/>
      <name val="Arial"/>
      <family val="2"/>
    </font>
    <font>
      <sz val="8"/>
      <name val="Calibri"/>
      <family val="2"/>
      <scheme val="minor"/>
    </font>
    <font>
      <b/>
      <sz val="10"/>
      <color theme="3" tint="-0.499984740745262"/>
      <name val="Arial"/>
      <family val="2"/>
    </font>
    <font>
      <sz val="10"/>
      <color theme="1"/>
      <name val="Arial"/>
      <family val="2"/>
    </font>
    <font>
      <b/>
      <sz val="10"/>
      <color theme="4" tint="-0.499984740745262"/>
      <name val="Arial"/>
      <family val="2"/>
    </font>
    <font>
      <b/>
      <sz val="10"/>
      <color theme="1"/>
      <name val="Arial"/>
      <family val="2"/>
    </font>
    <font>
      <sz val="10"/>
      <color rgb="FFC00000"/>
      <name val="Arial"/>
      <family val="2"/>
    </font>
    <font>
      <b/>
      <sz val="10"/>
      <color theme="0"/>
      <name val="Arial"/>
      <family val="2"/>
    </font>
    <font>
      <b/>
      <sz val="10"/>
      <color rgb="FFC00000"/>
      <name val="Arial"/>
      <family val="2"/>
    </font>
    <font>
      <b/>
      <sz val="12"/>
      <color theme="3" tint="-0.499984740745262"/>
      <name val="Arial"/>
      <family val="2"/>
    </font>
    <font>
      <b/>
      <sz val="8"/>
      <color theme="1"/>
      <name val="Arial"/>
      <family val="2"/>
    </font>
    <font>
      <sz val="8"/>
      <color rgb="FFC00000"/>
      <name val="Arial"/>
      <family val="2"/>
    </font>
    <font>
      <b/>
      <sz val="8"/>
      <color rgb="FFC00000"/>
      <name val="Arial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3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theme="4" tint="-0.499984740745262"/>
      </bottom>
      <diagonal/>
    </border>
    <border>
      <left/>
      <right/>
      <top style="thin">
        <color theme="4" tint="-0.249977111117893"/>
      </top>
      <bottom style="medium">
        <color theme="4" tint="-0.499984740745262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medium">
        <color theme="4" tint="-0.499984740745262"/>
      </bottom>
      <diagonal/>
    </border>
    <border>
      <left style="thin">
        <color theme="4" tint="-0.249977111117893"/>
      </left>
      <right/>
      <top/>
      <bottom/>
      <diagonal/>
    </border>
    <border>
      <left/>
      <right style="thin">
        <color theme="4" tint="-0.249977111117893"/>
      </right>
      <top style="medium">
        <color theme="4" tint="-0.499984740745262"/>
      </top>
      <bottom/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3" tint="-0.499984740745262"/>
      </bottom>
      <diagonal/>
    </border>
    <border>
      <left/>
      <right style="thin">
        <color theme="4" tint="-0.249977111117893"/>
      </right>
      <top/>
      <bottom style="thin">
        <color theme="3" tint="-0.499984740745262"/>
      </bottom>
      <diagonal/>
    </border>
    <border>
      <left style="thin">
        <color theme="4" tint="-0.249977111117893"/>
      </left>
      <right/>
      <top/>
      <bottom style="thin">
        <color indexed="64"/>
      </bottom>
      <diagonal/>
    </border>
    <border>
      <left/>
      <right style="thin">
        <color theme="4" tint="-0.249977111117893"/>
      </right>
      <top/>
      <bottom style="thin">
        <color indexed="64"/>
      </bottom>
      <diagonal/>
    </border>
    <border>
      <left style="thin">
        <color theme="4" tint="-0.249977111117893"/>
      </left>
      <right/>
      <top style="thin">
        <color indexed="64"/>
      </top>
      <bottom style="thin">
        <color theme="4" tint="-0.249977111117893"/>
      </bottom>
      <diagonal/>
    </border>
    <border>
      <left/>
      <right/>
      <top style="thin">
        <color indexed="64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indexed="64"/>
      </top>
      <bottom style="thin">
        <color theme="4" tint="-0.249977111117893"/>
      </bottom>
      <diagonal/>
    </border>
  </borders>
  <cellStyleXfs count="4">
    <xf numFmtId="0" fontId="0" fillId="0" borderId="0"/>
    <xf numFmtId="0" fontId="4" fillId="0" borderId="1" applyFill="0" applyProtection="0">
      <alignment horizontal="right" wrapText="1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 applyAlignment="1">
      <alignment horizontal="center" vertical="top" wrapText="1"/>
    </xf>
    <xf numFmtId="9" fontId="10" fillId="2" borderId="0" xfId="3" applyFont="1" applyFill="1" applyBorder="1" applyAlignment="1">
      <alignment horizontal="right"/>
    </xf>
    <xf numFmtId="165" fontId="10" fillId="2" borderId="3" xfId="0" applyNumberFormat="1" applyFont="1" applyFill="1" applyBorder="1"/>
    <xf numFmtId="9" fontId="12" fillId="2" borderId="0" xfId="3" applyFont="1" applyFill="1" applyBorder="1" applyAlignment="1">
      <alignment horizontal="right"/>
    </xf>
    <xf numFmtId="165" fontId="10" fillId="2" borderId="2" xfId="0" applyNumberFormat="1" applyFont="1" applyFill="1" applyBorder="1"/>
    <xf numFmtId="9" fontId="13" fillId="2" borderId="0" xfId="3" applyFont="1" applyFill="1" applyBorder="1" applyAlignment="1">
      <alignment horizontal="right"/>
    </xf>
    <xf numFmtId="9" fontId="15" fillId="2" borderId="0" xfId="3" applyFont="1" applyFill="1" applyBorder="1" applyAlignment="1">
      <alignment horizontal="right"/>
    </xf>
    <xf numFmtId="165" fontId="13" fillId="2" borderId="2" xfId="0" applyNumberFormat="1" applyFont="1" applyFill="1" applyBorder="1"/>
    <xf numFmtId="0" fontId="16" fillId="2" borderId="0" xfId="0" applyFont="1" applyFill="1"/>
    <xf numFmtId="9" fontId="5" fillId="2" borderId="0" xfId="3" applyFont="1" applyFill="1" applyBorder="1" applyAlignment="1">
      <alignment horizontal="right"/>
    </xf>
    <xf numFmtId="9" fontId="5" fillId="2" borderId="3" xfId="3" applyFont="1" applyFill="1" applyBorder="1" applyAlignment="1">
      <alignment horizontal="right"/>
    </xf>
    <xf numFmtId="9" fontId="17" fillId="2" borderId="0" xfId="3" applyFont="1" applyFill="1" applyBorder="1" applyAlignment="1">
      <alignment horizontal="right"/>
    </xf>
    <xf numFmtId="9" fontId="5" fillId="2" borderId="2" xfId="3" applyFont="1" applyFill="1" applyBorder="1" applyAlignment="1">
      <alignment horizontal="right"/>
    </xf>
    <xf numFmtId="9" fontId="18" fillId="2" borderId="0" xfId="3" applyFont="1" applyFill="1" applyBorder="1" applyAlignment="1">
      <alignment horizontal="right"/>
    </xf>
    <xf numFmtId="9" fontId="19" fillId="4" borderId="0" xfId="3" applyFont="1" applyFill="1" applyBorder="1" applyAlignment="1">
      <alignment horizontal="right"/>
    </xf>
    <xf numFmtId="9" fontId="19" fillId="2" borderId="0" xfId="3" applyFont="1" applyFill="1" applyBorder="1" applyAlignment="1">
      <alignment horizontal="right"/>
    </xf>
    <xf numFmtId="0" fontId="10" fillId="5" borderId="0" xfId="0" applyFont="1" applyFill="1"/>
    <xf numFmtId="9" fontId="10" fillId="5" borderId="0" xfId="3" applyFont="1" applyFill="1"/>
    <xf numFmtId="9" fontId="1" fillId="5" borderId="0" xfId="3" applyFont="1" applyFill="1" applyAlignment="1"/>
    <xf numFmtId="0" fontId="12" fillId="5" borderId="0" xfId="0" applyFont="1" applyFill="1"/>
    <xf numFmtId="0" fontId="12" fillId="5" borderId="0" xfId="0" applyFont="1" applyFill="1" applyAlignment="1">
      <alignment horizontal="right"/>
    </xf>
    <xf numFmtId="0" fontId="1" fillId="2" borderId="7" xfId="0" applyFont="1" applyFill="1" applyBorder="1"/>
    <xf numFmtId="0" fontId="1" fillId="2" borderId="0" xfId="0" applyFont="1" applyFill="1" applyBorder="1"/>
    <xf numFmtId="0" fontId="1" fillId="2" borderId="0" xfId="0" applyFont="1" applyFill="1" applyBorder="1" applyAlignment="1">
      <alignment horizontal="right"/>
    </xf>
    <xf numFmtId="166" fontId="1" fillId="2" borderId="0" xfId="0" applyNumberFormat="1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right"/>
    </xf>
    <xf numFmtId="166" fontId="1" fillId="2" borderId="2" xfId="0" applyNumberFormat="1" applyFont="1" applyFill="1" applyBorder="1"/>
    <xf numFmtId="0" fontId="1" fillId="2" borderId="1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2" xfId="0" applyFont="1" applyFill="1" applyBorder="1" applyAlignment="1">
      <alignment horizontal="center"/>
    </xf>
    <xf numFmtId="0" fontId="7" fillId="6" borderId="13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164" fontId="1" fillId="2" borderId="0" xfId="2" applyNumberFormat="1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3" borderId="2" xfId="0" applyFont="1" applyFill="1" applyBorder="1" applyAlignment="1">
      <alignment horizontal="left"/>
    </xf>
    <xf numFmtId="164" fontId="1" fillId="3" borderId="2" xfId="2" applyNumberFormat="1" applyFon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7" fillId="6" borderId="11" xfId="0" applyFont="1" applyFill="1" applyBorder="1" applyAlignment="1">
      <alignment horizontal="left"/>
    </xf>
    <xf numFmtId="0" fontId="7" fillId="6" borderId="12" xfId="0" applyFont="1" applyFill="1" applyBorder="1" applyAlignment="1">
      <alignment horizontal="left"/>
    </xf>
    <xf numFmtId="164" fontId="1" fillId="2" borderId="0" xfId="2" applyNumberFormat="1" applyFont="1" applyFill="1" applyBorder="1" applyAlignment="1"/>
    <xf numFmtId="164" fontId="1" fillId="2" borderId="0" xfId="2" applyNumberFormat="1" applyFont="1" applyFill="1" applyBorder="1"/>
    <xf numFmtId="0" fontId="7" fillId="6" borderId="4" xfId="0" applyFont="1" applyFill="1" applyBorder="1" applyAlignment="1">
      <alignment horizontal="left"/>
    </xf>
    <xf numFmtId="0" fontId="7" fillId="6" borderId="5" xfId="0" applyFont="1" applyFill="1" applyBorder="1" applyAlignment="1">
      <alignment horizontal="left"/>
    </xf>
    <xf numFmtId="0" fontId="7" fillId="6" borderId="6" xfId="0" applyFont="1" applyFill="1" applyBorder="1" applyAlignment="1">
      <alignment horizontal="left"/>
    </xf>
    <xf numFmtId="0" fontId="9" fillId="2" borderId="4" xfId="0" applyFont="1" applyFill="1" applyBorder="1" applyAlignment="1">
      <alignment vertical="center" wrapText="1"/>
    </xf>
    <xf numFmtId="0" fontId="7" fillId="2" borderId="5" xfId="0" applyFont="1" applyFill="1" applyBorder="1" applyAlignment="1">
      <alignment vertical="center" wrapText="1"/>
    </xf>
    <xf numFmtId="0" fontId="7" fillId="2" borderId="6" xfId="0" applyFont="1" applyFill="1" applyBorder="1" applyAlignment="1">
      <alignment vertical="center" wrapText="1"/>
    </xf>
    <xf numFmtId="9" fontId="10" fillId="2" borderId="14" xfId="3" applyFont="1" applyFill="1" applyBorder="1" applyAlignment="1">
      <alignment horizontal="right"/>
    </xf>
    <xf numFmtId="0" fontId="20" fillId="0" borderId="14" xfId="0" applyFont="1" applyBorder="1"/>
    <xf numFmtId="0" fontId="9" fillId="2" borderId="15" xfId="0" applyFont="1" applyFill="1" applyBorder="1" applyAlignment="1">
      <alignment vertical="center" wrapText="1"/>
    </xf>
    <xf numFmtId="0" fontId="7" fillId="2" borderId="16" xfId="0" applyFont="1" applyFill="1" applyBorder="1" applyAlignment="1">
      <alignment vertical="center" wrapText="1"/>
    </xf>
    <xf numFmtId="0" fontId="7" fillId="2" borderId="17" xfId="0" applyFont="1" applyFill="1" applyBorder="1" applyAlignment="1">
      <alignment vertical="center" wrapText="1"/>
    </xf>
    <xf numFmtId="0" fontId="10" fillId="2" borderId="18" xfId="0" applyFont="1" applyFill="1" applyBorder="1"/>
    <xf numFmtId="165" fontId="10" fillId="2" borderId="0" xfId="0" applyNumberFormat="1" applyFont="1" applyFill="1" applyBorder="1"/>
    <xf numFmtId="9" fontId="5" fillId="2" borderId="19" xfId="3" applyFont="1" applyFill="1" applyBorder="1" applyAlignment="1">
      <alignment horizontal="right"/>
    </xf>
    <xf numFmtId="9" fontId="5" fillId="2" borderId="20" xfId="3" applyFont="1" applyFill="1" applyBorder="1" applyAlignment="1">
      <alignment horizontal="right"/>
    </xf>
    <xf numFmtId="0" fontId="10" fillId="2" borderId="21" xfId="0" applyFont="1" applyFill="1" applyBorder="1"/>
    <xf numFmtId="9" fontId="5" fillId="2" borderId="22" xfId="3" applyFont="1" applyFill="1" applyBorder="1" applyAlignment="1">
      <alignment horizontal="right"/>
    </xf>
    <xf numFmtId="0" fontId="12" fillId="2" borderId="18" xfId="0" applyFont="1" applyFill="1" applyBorder="1"/>
    <xf numFmtId="165" fontId="12" fillId="2" borderId="0" xfId="0" applyNumberFormat="1" applyFont="1" applyFill="1" applyBorder="1"/>
    <xf numFmtId="9" fontId="17" fillId="2" borderId="20" xfId="3" applyFont="1" applyFill="1" applyBorder="1" applyAlignment="1">
      <alignment horizontal="right"/>
    </xf>
    <xf numFmtId="0" fontId="10" fillId="2" borderId="23" xfId="0" applyFont="1" applyFill="1" applyBorder="1"/>
    <xf numFmtId="9" fontId="5" fillId="2" borderId="24" xfId="3" applyFont="1" applyFill="1" applyBorder="1" applyAlignment="1">
      <alignment horizontal="right"/>
    </xf>
    <xf numFmtId="165" fontId="13" fillId="2" borderId="0" xfId="0" applyNumberFormat="1" applyFont="1" applyFill="1" applyBorder="1"/>
    <xf numFmtId="9" fontId="18" fillId="2" borderId="20" xfId="3" applyFont="1" applyFill="1" applyBorder="1" applyAlignment="1">
      <alignment horizontal="right"/>
    </xf>
    <xf numFmtId="0" fontId="14" fillId="4" borderId="18" xfId="0" applyFont="1" applyFill="1" applyBorder="1"/>
    <xf numFmtId="165" fontId="14" fillId="4" borderId="0" xfId="0" applyNumberFormat="1" applyFont="1" applyFill="1" applyBorder="1"/>
    <xf numFmtId="165" fontId="15" fillId="4" borderId="0" xfId="0" applyNumberFormat="1" applyFont="1" applyFill="1" applyBorder="1"/>
    <xf numFmtId="9" fontId="19" fillId="4" borderId="20" xfId="3" applyFont="1" applyFill="1" applyBorder="1" applyAlignment="1">
      <alignment horizontal="right"/>
    </xf>
    <xf numFmtId="165" fontId="15" fillId="2" borderId="0" xfId="0" applyNumberFormat="1" applyFont="1" applyFill="1" applyBorder="1"/>
    <xf numFmtId="9" fontId="19" fillId="2" borderId="20" xfId="3" applyFont="1" applyFill="1" applyBorder="1" applyAlignment="1">
      <alignment horizontal="right"/>
    </xf>
    <xf numFmtId="0" fontId="12" fillId="2" borderId="25" xfId="0" applyFont="1" applyFill="1" applyBorder="1"/>
    <xf numFmtId="165" fontId="12" fillId="2" borderId="26" xfId="0" applyNumberFormat="1" applyFont="1" applyFill="1" applyBorder="1"/>
    <xf numFmtId="9" fontId="17" fillId="2" borderId="26" xfId="3" applyFont="1" applyFill="1" applyBorder="1" applyAlignment="1">
      <alignment horizontal="right"/>
    </xf>
    <xf numFmtId="9" fontId="17" fillId="2" borderId="27" xfId="3" applyFont="1" applyFill="1" applyBorder="1" applyAlignment="1">
      <alignment horizontal="right"/>
    </xf>
    <xf numFmtId="0" fontId="1" fillId="6" borderId="0" xfId="0" applyFont="1" applyFill="1" applyAlignment="1">
      <alignment horizontal="left"/>
    </xf>
  </cellXfs>
  <cellStyles count="4">
    <cellStyle name="Comma" xfId="2" builtinId="3"/>
    <cellStyle name="Normal" xfId="0" builtinId="0"/>
    <cellStyle name="Percent" xfId="3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5">
                    <a:lumMod val="50000"/>
                  </a:schemeClr>
                </a:solidFill>
              </a:rPr>
              <a:t>KPIs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'P&amp;L statement'!$J$12</c:f>
              <c:strCache>
                <c:ptCount val="1"/>
                <c:pt idx="0">
                  <c:v>GM% (Gross Margin)</c:v>
                </c:pt>
              </c:strCache>
            </c:strRef>
          </c:tx>
          <c:spPr>
            <a:solidFill>
              <a:schemeClr val="accent5">
                <a:lumMod val="50000"/>
                <a:alpha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'P&amp;L statement'!$K$11:$M$11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'P&amp;L statement'!$K$12:$M$12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6-428B-B66C-6703D955036D}"/>
            </c:ext>
          </c:extLst>
        </c:ser>
        <c:ser>
          <c:idx val="1"/>
          <c:order val="1"/>
          <c:tx>
            <c:strRef>
              <c:f>'P&amp;L statement'!$J$13</c:f>
              <c:strCache>
                <c:ptCount val="1"/>
                <c:pt idx="0">
                  <c:v>EBITDA%</c:v>
                </c:pt>
              </c:strCache>
            </c:strRef>
          </c:tx>
          <c:spPr>
            <a:solidFill>
              <a:schemeClr val="accent6">
                <a:lumMod val="50000"/>
                <a:alpha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'P&amp;L statement'!$K$11:$M$11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'P&amp;L statement'!$K$13:$M$13</c:f>
              <c:numCache>
                <c:formatCode>0%</c:formatCode>
                <c:ptCount val="3"/>
                <c:pt idx="0">
                  <c:v>0.36878477758296191</c:v>
                </c:pt>
                <c:pt idx="1">
                  <c:v>0.15605171454104358</c:v>
                </c:pt>
                <c:pt idx="2">
                  <c:v>0.20104802619916018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6-428B-B66C-6703D955036D}"/>
            </c:ext>
          </c:extLst>
        </c:ser>
        <c:ser>
          <c:idx val="2"/>
          <c:order val="2"/>
          <c:tx>
            <c:strRef>
              <c:f>'P&amp;L statement'!$J$14</c:f>
              <c:strCache>
                <c:ptCount val="1"/>
                <c:pt idx="0">
                  <c:v>EBIT%</c:v>
                </c:pt>
              </c:strCache>
            </c:strRef>
          </c:tx>
          <c:spPr>
            <a:solidFill>
              <a:schemeClr val="accent4">
                <a:lumMod val="75000"/>
                <a:alpha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'P&amp;L statement'!$K$11:$M$11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'P&amp;L statement'!$K$14:$M$14</c:f>
              <c:numCache>
                <c:formatCode>0%</c:formatCode>
                <c:ptCount val="3"/>
                <c:pt idx="0">
                  <c:v>0.2779466397506159</c:v>
                </c:pt>
                <c:pt idx="1">
                  <c:v>7.7534569806299788E-2</c:v>
                </c:pt>
                <c:pt idx="2">
                  <c:v>0.12928704033394345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06-428B-B66C-6703D955036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720952"/>
        <c:axId val="67721608"/>
      </c:barChart>
      <c:catAx>
        <c:axId val="6772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1608"/>
        <c:crosses val="autoZero"/>
        <c:auto val="1"/>
        <c:lblAlgn val="ctr"/>
        <c:lblOffset val="100"/>
        <c:noMultiLvlLbl val="0"/>
      </c:catAx>
      <c:valAx>
        <c:axId val="6772160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0952"/>
        <c:crosses val="autoZero"/>
        <c:crossBetween val="between"/>
        <c:majorUnit val="0.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5">
                    <a:lumMod val="50000"/>
                  </a:schemeClr>
                </a:solidFill>
              </a:rPr>
              <a:t>Net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'P&amp;L statement'!$B$4</c:f>
              <c:strCache>
                <c:ptCount val="1"/>
                <c:pt idx="0">
                  <c:v>Net Sales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'P&amp;L statement'!$C$3:$G$3</c15:sqref>
                  </c15:fullRef>
                </c:ext>
              </c:extLst>
              <c:f>'P&amp;L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'P&amp;L statement'!$C$4:$G$4</c15:sqref>
                  </c15:fullRef>
                </c:ext>
              </c:extLst>
              <c:f>'P&amp;L statement'!$C$4:$E$4</c:f>
              <c:numCache>
                <c:formatCode>#,##0.0;\(#,##0.0\);"-"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E6-49F4-9BE3-9EDA35638D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32872152"/>
        <c:axId val="63287313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'P&amp;L statement'!$B$5</c15:sqref>
                        </c15:formulaRef>
                      </c:ext>
                    </c:extLst>
                    <c:strCache>
                      <c:ptCount val="1"/>
                      <c:pt idx="0">
                        <c:v>Other revenues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'P&amp;L statement'!$C$3:$G$3</c15:sqref>
                        </c15:fullRef>
                        <c15:formulaRef>
                          <c15:sqref>'P&amp;L statement'!$C$3:$E$3</c15:sqref>
                        </c15:formulaRef>
                      </c:ext>
                    </c:extLst>
                    <c:strCache>
                      <c:ptCount val="3"/>
                      <c:pt idx="0">
                        <c:v>FY16</c:v>
                      </c:pt>
                      <c:pt idx="1">
                        <c:v>FY17</c:v>
                      </c:pt>
                      <c:pt idx="2">
                        <c:v>FY18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'P&amp;L statement'!$C$5:$G$5</c15:sqref>
                        </c15:fullRef>
                        <c15:formulaRef>
                          <c15:sqref>'P&amp;L statement'!$C$5:$E$5</c15:sqref>
                        </c15:formulaRef>
                      </c:ext>
                    </c:extLst>
                    <c:numCache>
                      <c:formatCode>#,##0.0;\(#,##0.0\);"-"</c:formatCode>
                      <c:ptCount val="3"/>
                      <c:pt idx="0">
                        <c:v>4.7948561920000001</c:v>
                      </c:pt>
                      <c:pt idx="1">
                        <c:v>6.9602176449999993</c:v>
                      </c:pt>
                      <c:pt idx="2">
                        <c:v>6.3736175140000002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BE6-49F4-9BE3-9EDA35638D9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'P&amp;L statement'!$B$6</c15:sqref>
                        </c15:formulaRef>
                      </c:ext>
                    </c:extLst>
                    <c:strCache>
                      <c:ptCount val="1"/>
                      <c:pt idx="0">
                        <c:v>Recharges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'P&amp;L statement'!$C$3:$G$3</c15:sqref>
                        </c15:fullRef>
                        <c15:formulaRef>
                          <c15:sqref>'P&amp;L statement'!$C$3:$E$3</c15:sqref>
                        </c15:formulaRef>
                      </c:ext>
                    </c:extLst>
                    <c:strCache>
                      <c:ptCount val="3"/>
                      <c:pt idx="0">
                        <c:v>FY16</c:v>
                      </c:pt>
                      <c:pt idx="1">
                        <c:v>FY17</c:v>
                      </c:pt>
                      <c:pt idx="2">
                        <c:v>FY18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'P&amp;L statement'!$C$6:$G$6</c15:sqref>
                        </c15:fullRef>
                        <c15:formulaRef>
                          <c15:sqref>'P&amp;L statement'!$C$6:$E$6</c15:sqref>
                        </c15:formulaRef>
                      </c:ext>
                    </c:extLst>
                    <c:numCache>
                      <c:formatCode>#,##0.0;\(#,##0.0\);"-"</c:formatCode>
                      <c:ptCount val="3"/>
                      <c:pt idx="0">
                        <c:v>3.2200542519999997</c:v>
                      </c:pt>
                      <c:pt idx="1">
                        <c:v>2.9240919949999999</c:v>
                      </c:pt>
                      <c:pt idx="2">
                        <c:v>4.8931777299999997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BE6-49F4-9BE3-9EDA35638D9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'P&amp;L statement'!$B$7</c15:sqref>
                        </c15:formulaRef>
                      </c:ext>
                    </c:extLst>
                    <c:strCache>
                      <c:ptCount val="1"/>
                      <c:pt idx="0">
                        <c:v>Total revenues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'P&amp;L statement'!$C$3:$G$3</c15:sqref>
                        </c15:fullRef>
                        <c15:formulaRef>
                          <c15:sqref>'P&amp;L statement'!$C$3:$E$3</c15:sqref>
                        </c15:formulaRef>
                      </c:ext>
                    </c:extLst>
                    <c:strCache>
                      <c:ptCount val="3"/>
                      <c:pt idx="0">
                        <c:v>FY16</c:v>
                      </c:pt>
                      <c:pt idx="1">
                        <c:v>FY17</c:v>
                      </c:pt>
                      <c:pt idx="2">
                        <c:v>FY18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'P&amp;L statement'!$C$7:$G$7</c15:sqref>
                        </c15:fullRef>
                        <c15:formulaRef>
                          <c15:sqref>'P&amp;L statement'!$C$7:$E$7</c15:sqref>
                        </c15:formulaRef>
                      </c:ext>
                    </c:extLst>
                    <c:numCache>
                      <c:formatCode>#,##0.0;\(#,##0.0\);"-"</c:formatCode>
                      <c:ptCount val="3"/>
                      <c:pt idx="0">
                        <c:v>22.515251444</c:v>
                      </c:pt>
                      <c:pt idx="1">
                        <c:v>26.032605005000001</c:v>
                      </c:pt>
                      <c:pt idx="2">
                        <c:v>26.314598263000001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BE6-49F4-9BE3-9EDA35638D9D}"/>
                  </c:ext>
                </c:extLst>
              </c15:ser>
            </c15:filteredLineSeries>
          </c:ext>
        </c:extLst>
      </c:lineChart>
      <c:catAx>
        <c:axId val="632872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873136"/>
        <c:crosses val="autoZero"/>
        <c:auto val="1"/>
        <c:lblAlgn val="ctr"/>
        <c:lblOffset val="100"/>
        <c:noMultiLvlLbl val="0"/>
      </c:catAx>
      <c:valAx>
        <c:axId val="63287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#,##0.0;\(#,##0.0\)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872152"/>
        <c:crosses val="autoZero"/>
        <c:crossBetween val="between"/>
      </c:valAx>
      <c:spPr>
        <a:noFill/>
        <a:ln>
          <a:solidFill>
            <a:schemeClr val="bg1">
              <a:lumMod val="65000"/>
              <a:alpha val="25000"/>
            </a:schemeClr>
          </a:solidFill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5">
                    <a:lumMod val="50000"/>
                  </a:schemeClr>
                </a:solidFill>
              </a:rPr>
              <a:t>Net</a:t>
            </a:r>
            <a:r>
              <a:rPr lang="en-US" sz="1200" b="1" baseline="0">
                <a:solidFill>
                  <a:schemeClr val="accent5">
                    <a:lumMod val="50000"/>
                  </a:schemeClr>
                </a:solidFill>
              </a:rPr>
              <a:t> Sales vs Net Income</a:t>
            </a:r>
            <a:endParaRPr lang="en-US" sz="1200" b="1">
              <a:solidFill>
                <a:schemeClr val="accent5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'P&amp;L statement'!$B$4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5">
                  <a:lumMod val="50000"/>
                  <a:alpha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C8-4818-819E-667340CF3B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'P&amp;L statement'!$C$4:$E$4</c:f>
              <c:numCache>
                <c:formatCode>#,##0.0;\(#,##0.0\);"-"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8-4818-819E-667340CF3B94}"/>
            </c:ext>
          </c:extLst>
        </c:ser>
        <c:ser>
          <c:idx val="1"/>
          <c:order val="1"/>
          <c:tx>
            <c:strRef>
              <c:f>'P&amp;L statement'!$B$7</c:f>
              <c:strCache>
                <c:ptCount val="1"/>
                <c:pt idx="0">
                  <c:v>Total revenues</c:v>
                </c:pt>
              </c:strCache>
            </c:strRef>
          </c:tx>
          <c:spPr>
            <a:solidFill>
              <a:schemeClr val="accent2">
                <a:lumMod val="50000"/>
                <a:alpha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'P&amp;L statement'!$C$7:$E$7</c:f>
              <c:numCache>
                <c:formatCode>#,##0.0;\(#,##0.0\);"-"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8-4818-819E-667340CF3B94}"/>
            </c:ext>
          </c:extLst>
        </c:ser>
        <c:ser>
          <c:idx val="2"/>
          <c:order val="2"/>
          <c:tx>
            <c:strRef>
              <c:f>'P&amp;L statement'!$B$24</c:f>
              <c:strCache>
                <c:ptCount val="1"/>
                <c:pt idx="0">
                  <c:v>Net Income</c:v>
                </c:pt>
              </c:strCache>
            </c:strRef>
          </c:tx>
          <c:spPr>
            <a:solidFill>
              <a:schemeClr val="accent3">
                <a:lumMod val="75000"/>
                <a:alpha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'P&amp;L statement'!$C$3:$E$3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'P&amp;L statement'!$C$24:$E$24</c:f>
              <c:numCache>
                <c:formatCode>#,##0.0;\(#,##0.0\);"-"</c:formatCode>
                <c:ptCount val="3"/>
                <c:pt idx="0">
                  <c:v>-2.9041179939999986</c:v>
                </c:pt>
                <c:pt idx="1">
                  <c:v>6.0738081600000005</c:v>
                </c:pt>
                <c:pt idx="2">
                  <c:v>-0.77929047600000001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C8-4818-819E-667340CF3B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50"/>
        <c:axId val="106196880"/>
        <c:axId val="106200488"/>
      </c:barChart>
      <c:catAx>
        <c:axId val="10619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200488"/>
        <c:crosses val="autoZero"/>
        <c:auto val="1"/>
        <c:lblAlgn val="ctr"/>
        <c:lblOffset val="100"/>
        <c:noMultiLvlLbl val="0"/>
      </c:catAx>
      <c:valAx>
        <c:axId val="10620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accent5">
                        <a:lumMod val="50000"/>
                      </a:schemeClr>
                    </a:solidFill>
                  </a:rPr>
                  <a:t>Euros in 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;\(#,##0.0\);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1968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5">
                    <a:lumMod val="50000"/>
                  </a:schemeClr>
                </a:solidFill>
              </a:rPr>
              <a:t>Variance</a:t>
            </a:r>
            <a:r>
              <a:rPr lang="en-US" sz="1200" b="1" baseline="0">
                <a:solidFill>
                  <a:schemeClr val="accent5">
                    <a:lumMod val="50000"/>
                  </a:schemeClr>
                </a:solidFill>
              </a:rPr>
              <a:t> Percentage</a:t>
            </a:r>
            <a:endParaRPr lang="en-US" sz="1200" b="1">
              <a:solidFill>
                <a:schemeClr val="accent5">
                  <a:lumMod val="50000"/>
                </a:schemeClr>
              </a:solidFill>
            </a:endParaRPr>
          </a:p>
          <a:p>
            <a:pPr>
              <a:defRPr b="1"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200" b="1">
                <a:solidFill>
                  <a:schemeClr val="accent5">
                    <a:lumMod val="50000"/>
                  </a:schemeClr>
                </a:solidFill>
              </a:rPr>
              <a:t>(FY16-17)</a:t>
            </a:r>
            <a:endParaRPr lang="en-US" b="1">
              <a:solidFill>
                <a:schemeClr val="accent5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'P&amp;L statement'!$K$3</c:f>
              <c:strCache>
                <c:ptCount val="1"/>
                <c:pt idx="0">
                  <c:v>Var % (FY16-17)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50000"/>
                  <a:alpha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2EB-4AED-AE77-C2221FCE06B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50000"/>
                  <a:alpha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EB-4AED-AE77-C2221FCE06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'P&amp;L statement'!$J$4:$J$9</c15:sqref>
                  </c15:fullRef>
                </c:ext>
              </c:extLst>
              <c:f>('P&amp;L statement'!$J$4:$J$5,'P&amp;L statement'!$J$9)</c:f>
              <c:strCache>
                <c:ptCount val="3"/>
                <c:pt idx="0">
                  <c:v>Total revenues</c:v>
                </c:pt>
                <c:pt idx="1">
                  <c:v>Gross margin</c:v>
                </c:pt>
                <c:pt idx="2">
                  <c:v>Net Income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'P&amp;L statement'!$K$4:$K$9</c15:sqref>
                  </c15:fullRef>
                </c:ext>
              </c:extLst>
              <c:f>('P&amp;L statement'!$K$4:$K$5,'P&amp;L statement'!$K$9)</c:f>
              <c:numCache>
                <c:formatCode>0%</c:formatCode>
                <c:ptCount val="3"/>
                <c:pt idx="0">
                  <c:v>0.15622093183140207</c:v>
                </c:pt>
                <c:pt idx="1">
                  <c:v>0.13729016174266606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'P&amp;L statement'!$K$6</c15:sqref>
                  <c15:spPr xmlns:c15="http://schemas.microsoft.com/office/drawing/2012/chart">
                    <a:solidFill>
                      <a:schemeClr val="accent6">
                        <a:lumMod val="50000"/>
                        <a:alpha val="8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'P&amp;L statement'!$K$7</c15:sqref>
                  <c15:spPr xmlns:c15="http://schemas.microsoft.com/office/drawing/2012/chart">
                    <a:solidFill>
                      <a:schemeClr val="tx2">
                        <a:lumMod val="75000"/>
                        <a:alpha val="8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82EB-4AED-AE77-C2221FCE06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536803752"/>
        <c:axId val="5368047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'P&amp;L statement'!$L$3</c15:sqref>
                        </c15:formulaRef>
                      </c:ext>
                    </c:extLst>
                    <c:strCache>
                      <c:ptCount val="1"/>
                      <c:pt idx="0">
                        <c:v>Var %  (FY17-18)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baseline="0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'P&amp;L statement'!$J$4:$J$9</c15:sqref>
                        </c15:fullRef>
                        <c15:formulaRef>
                          <c15:sqref>('P&amp;L statement'!$J$4:$J$5,'P&amp;L statement'!$J$9)</c15:sqref>
                        </c15:formulaRef>
                      </c:ext>
                    </c:extLst>
                    <c:strCache>
                      <c:ptCount val="3"/>
                      <c:pt idx="0">
                        <c:v>Total revenues</c:v>
                      </c:pt>
                      <c:pt idx="1">
                        <c:v>Gross margin</c:v>
                      </c:pt>
                      <c:pt idx="2">
                        <c:v>Net Income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'P&amp;L statement'!$L$4:$L$9</c15:sqref>
                        </c15:fullRef>
                        <c15:formulaRef>
                          <c15:sqref>('P&amp;L statement'!$L$4:$L$5,'P&amp;L statement'!$L$9)</c15:sqref>
                        </c15:formulaRef>
                      </c:ext>
                    </c:extLst>
                    <c:numCache>
                      <c:formatCode>0%</c:formatCode>
                      <c:ptCount val="3"/>
                      <c:pt idx="0">
                        <c:v>1.0832310402506318E-2</c:v>
                      </c:pt>
                      <c:pt idx="1">
                        <c:v>3.4531858064625887E-3</c:v>
                      </c:pt>
                      <c:pt idx="2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2EB-4AED-AE77-C2221FCE06B3}"/>
                  </c:ext>
                </c:extLst>
              </c15:ser>
            </c15:filteredBarSeries>
          </c:ext>
        </c:extLst>
      </c:barChart>
      <c:catAx>
        <c:axId val="53680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04736"/>
        <c:crosses val="autoZero"/>
        <c:auto val="1"/>
        <c:lblAlgn val="ctr"/>
        <c:lblOffset val="100"/>
        <c:noMultiLvlLbl val="0"/>
      </c:catAx>
      <c:valAx>
        <c:axId val="536804736"/>
        <c:scaling>
          <c:orientation val="minMax"/>
          <c:max val="0.9"/>
          <c:min val="-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0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accent5">
                    <a:lumMod val="50000"/>
                  </a:schemeClr>
                </a:solidFill>
              </a:rPr>
              <a:t>Variance</a:t>
            </a:r>
            <a:r>
              <a:rPr lang="en-US" sz="1200" b="1" baseline="0">
                <a:solidFill>
                  <a:schemeClr val="accent5">
                    <a:lumMod val="50000"/>
                  </a:schemeClr>
                </a:solidFill>
              </a:rPr>
              <a:t> Percentage</a:t>
            </a:r>
            <a:endParaRPr lang="en-US" sz="1200" b="1">
              <a:solidFill>
                <a:schemeClr val="accent5">
                  <a:lumMod val="50000"/>
                </a:schemeClr>
              </a:solidFill>
            </a:endParaRPr>
          </a:p>
          <a:p>
            <a:pPr>
              <a:defRPr b="1"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200" b="1">
                <a:solidFill>
                  <a:schemeClr val="accent5">
                    <a:lumMod val="50000"/>
                  </a:schemeClr>
                </a:solidFill>
              </a:rPr>
              <a:t>(FY17-18)</a:t>
            </a:r>
            <a:endParaRPr lang="en-US" b="1">
              <a:solidFill>
                <a:schemeClr val="accent5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'P&amp;L statement'!$L$3</c:f>
              <c:strCache>
                <c:ptCount val="1"/>
                <c:pt idx="0">
                  <c:v>Var %  (FY17-18)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5A2C-4739-A9B9-22173B03196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A2C-4739-A9B9-22173B0319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 xmlns:c15="http://schemas.microsoft.com/office/drawing/2012/chart">
                <c:ext xmlns:c15="http://schemas.microsoft.com/office/drawing/2012/chart" uri="{02D57815-91ED-43cb-92C2-25804820EDAC}">
                  <c15:fullRef>
                    <c15:sqref>'P&amp;L statement'!$J$4:$J$9</c15:sqref>
                  </c15:fullRef>
                </c:ext>
              </c:extLst>
              <c:f>('P&amp;L statement'!$J$4:$J$5,'P&amp;L statement'!$J$9)</c:f>
              <c:strCache>
                <c:ptCount val="3"/>
                <c:pt idx="0">
                  <c:v>Total revenues</c:v>
                </c:pt>
                <c:pt idx="1">
                  <c:v>Gross margin</c:v>
                </c:pt>
                <c:pt idx="2">
                  <c:v>Net Income</c:v>
                </c:pt>
              </c:strCache>
            </c:strRef>
          </c:cat>
          <c:val>
            <c:numRef>
              <c:extLst xmlns:c15="http://schemas.microsoft.com/office/drawing/2012/chart">
                <c:ext xmlns:c15="http://schemas.microsoft.com/office/drawing/2012/chart" uri="{02D57815-91ED-43cb-92C2-25804820EDAC}">
                  <c15:fullRef>
                    <c15:sqref>'P&amp;L statement'!$L$4:$L$9</c15:sqref>
                  </c15:fullRef>
                </c:ext>
              </c:extLst>
              <c:f>('P&amp;L statement'!$L$4:$L$5,'P&amp;L statement'!$L$9)</c:f>
              <c:numCache>
                <c:formatCode>0%</c:formatCode>
                <c:ptCount val="3"/>
                <c:pt idx="0">
                  <c:v>1.0832310402506318E-2</c:v>
                </c:pt>
                <c:pt idx="1">
                  <c:v>3.4531858064625887E-3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'P&amp;L statement'!$L$6</c15:sqref>
                  <c15:spPr xmlns:c15="http://schemas.microsoft.com/office/drawing/2012/chart">
                    <a:solidFill>
                      <a:schemeClr val="accent6">
                        <a:lumMod val="50000"/>
                        <a:alpha val="8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  <c15:categoryFilterException>
                  <c15:sqref>'P&amp;L statement'!$L$7</c15:sqref>
                  <c15:spPr xmlns:c15="http://schemas.microsoft.com/office/drawing/2012/chart">
                    <a:solidFill>
                      <a:schemeClr val="tx2">
                        <a:lumMod val="75000"/>
                        <a:alpha val="80000"/>
                      </a:schemeClr>
                    </a:solidFill>
                    <a:ln>
                      <a:noFill/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9-5A2C-4739-A9B9-22173B0319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536803752"/>
        <c:axId val="53680473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'P&amp;L statement'!$K$3</c15:sqref>
                        </c15:formulaRef>
                      </c:ext>
                    </c:extLst>
                    <c:strCache>
                      <c:ptCount val="1"/>
                      <c:pt idx="0">
                        <c:v>Var % (FY16-17)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accent2">
                        <a:lumMod val="50000"/>
                        <a:alpha val="80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5A2C-4739-A9B9-22173B03196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accent5">
                        <a:lumMod val="50000"/>
                        <a:alpha val="80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A2C-4739-A9B9-22173B031968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baseline="0">
                          <a:solidFill>
                            <a:schemeClr val="tx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'P&amp;L statement'!$J$4:$J$9</c15:sqref>
                        </c15:fullRef>
                        <c15:formulaRef>
                          <c15:sqref>('P&amp;L statement'!$J$4:$J$5,'P&amp;L statement'!$J$9)</c15:sqref>
                        </c15:formulaRef>
                      </c:ext>
                    </c:extLst>
                    <c:strCache>
                      <c:ptCount val="3"/>
                      <c:pt idx="0">
                        <c:v>Total revenues</c:v>
                      </c:pt>
                      <c:pt idx="1">
                        <c:v>Gross margin</c:v>
                      </c:pt>
                      <c:pt idx="2">
                        <c:v>Net Income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'P&amp;L statement'!$K$4:$K$9</c15:sqref>
                        </c15:fullRef>
                        <c15:formulaRef>
                          <c15:sqref>('P&amp;L statement'!$K$4:$K$5,'P&amp;L statement'!$K$9)</c15:sqref>
                        </c15:formulaRef>
                      </c:ext>
                    </c:extLst>
                    <c:numCache>
                      <c:formatCode>0%</c:formatCode>
                      <c:ptCount val="3"/>
                      <c:pt idx="0">
                        <c:v>0.15622093183140207</c:v>
                      </c:pt>
                      <c:pt idx="1">
                        <c:v>0.13729016174266606</c:v>
                      </c:pt>
                      <c:pt idx="2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categoryFilterExceptions>
                      <c15:categoryFilterException>
                        <c15:sqref>'P&amp;L statement'!$K$6</c15:sqref>
                        <c15:spPr xmlns:c15="http://schemas.microsoft.com/office/drawing/2012/chart">
                          <a:solidFill>
                            <a:schemeClr val="accent6">
                              <a:lumMod val="50000"/>
                              <a:alpha val="80000"/>
                            </a:schemeClr>
                          </a:solidFill>
                          <a:ln>
                            <a:noFill/>
                          </a:ln>
                          <a:effectLst/>
                        </c15:spPr>
                        <c15:invertIfNegative val="0"/>
                        <c15:bubble3D val="0"/>
                      </c15:categoryFilterException>
                      <c15:categoryFilterException>
                        <c15:sqref>'P&amp;L statement'!$K$7</c15:sqref>
                        <c15:spPr xmlns:c15="http://schemas.microsoft.com/office/drawing/2012/chart">
                          <a:solidFill>
                            <a:schemeClr val="accent1">
                              <a:lumMod val="75000"/>
                              <a:alpha val="80000"/>
                            </a:schemeClr>
                          </a:solidFill>
                          <a:ln>
                            <a:noFill/>
                          </a:ln>
                          <a:effectLst/>
                        </c15:spPr>
                        <c15:invertIfNegative val="0"/>
                        <c15:bubble3D val="0"/>
                      </c15:categoryFilterException>
                    </c15:categoryFilterExceptions>
                  </c:ext>
                  <c:ext xmlns:c16="http://schemas.microsoft.com/office/drawing/2014/chart" uri="{C3380CC4-5D6E-409C-BE32-E72D297353CC}">
                    <c16:uniqueId val="{00000008-5A2C-4739-A9B9-22173B031968}"/>
                  </c:ext>
                </c:extLst>
              </c15:ser>
            </c15:filteredBarSeries>
          </c:ext>
        </c:extLst>
      </c:barChart>
      <c:catAx>
        <c:axId val="53680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04736"/>
        <c:crosses val="autoZero"/>
        <c:auto val="1"/>
        <c:lblAlgn val="ctr"/>
        <c:lblOffset val="100"/>
        <c:noMultiLvlLbl val="0"/>
      </c:catAx>
      <c:valAx>
        <c:axId val="536804736"/>
        <c:scaling>
          <c:orientation val="minMax"/>
          <c:max val="0.9"/>
          <c:min val="-0.70000000000000007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80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_xlchart.v1.39</cx:f>
      </cx:strDim>
      <cx:numDim type="val">
        <cx:f dir="row">_xlchart.v1.43</cx:f>
      </cx:numDim>
    </cx:data>
  </cx:chartData>
  <cx:chart>
    <cx:title pos="t" align="ctr" overlay="0">
      <cx:tx>
        <cx:txData>
          <cx:v>Total Revenue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2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r>
            <a:rPr kumimoji="0" lang="en-US" sz="1200" b="1" i="0" u="none" strike="noStrike" kern="1200" cap="none" spc="0" normalizeH="0" baseline="0" noProof="0">
              <a:ln>
                <a:noFill/>
              </a:ln>
              <a:solidFill>
                <a:schemeClr val="accent5">
                  <a:lumMod val="50000"/>
                </a:schemeClr>
              </a:solidFill>
              <a:effectLst/>
              <a:uLnTx/>
              <a:uFillTx/>
              <a:latin typeface="Calibri" panose="020F0502020204030204"/>
            </a:rPr>
            <a:t>Total Revenue</a:t>
          </a:r>
        </a:p>
      </cx:txPr>
    </cx:title>
    <cx:plotArea>
      <cx:plotAreaRegion>
        <cx:series layoutId="waterfall" uniqueId="{D67DE139-AD37-4556-B229-CB6EF6809C9D}" formatIdx="3">
          <cx:tx>
            <cx:txData>
              <cx:f>_xlchart.v1.21</cx:f>
              <cx:v>Total revenues</cx:v>
            </cx:txData>
          </cx:tx>
          <cx:spPr>
            <a:solidFill>
              <a:schemeClr val="accent2">
                <a:lumMod val="50000"/>
                <a:alpha val="80000"/>
              </a:schemeClr>
            </a:solidFill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kern="1200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  <cx:dataLabel idx="2" pos="inEnd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US" sz="900" b="1" i="0" u="none" strike="noStrike" kern="1200" baseline="0">
                      <a:solidFill>
                        <a:schemeClr val="bg1"/>
                      </a:solidFill>
                      <a:latin typeface="Calibri" panose="020F0502020204030204"/>
                    </a:rPr>
                    <a:t>26.3</a:t>
                  </a:r>
                </a:p>
              </cx:txPr>
              <cx:visibility seriesName="0" categoryName="0" value="1"/>
              <cx:separator>, </cx:separator>
            </cx:dataLabel>
          </cx:dataLabels>
          <cx:dataId val="0"/>
          <cx:layoutPr>
            <cx:subtotals/>
          </cx:layoutPr>
        </cx:series>
      </cx:plotAreaRegion>
      <cx:axis id="0">
        <cx:catScaling gapWidth="2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5">
                    <a:lumMod val="50000"/>
                  </a:schemeClr>
                </a:solidFill>
              </a:defRPr>
            </a:pPr>
            <a:endParaRPr lang="en-US" sz="900" b="0" i="0" u="none" strike="noStrike" kern="1200" baseline="0">
              <a:solidFill>
                <a:schemeClr val="accent5">
                  <a:lumMod val="50000"/>
                </a:schemeClr>
              </a:solidFill>
              <a:latin typeface="Calibri" panose="020F0502020204030204"/>
            </a:endParaRPr>
          </a:p>
        </cx:txPr>
      </cx:axis>
      <cx:axis id="1">
        <cx:valScaling/>
        <cx:majorGridlines>
          <cx:spPr>
            <a:ln>
              <a:solidFill>
                <a:schemeClr val="bg1">
                  <a:lumMod val="65000"/>
                  <a:alpha val="25000"/>
                </a:schemeClr>
              </a:solidFill>
            </a:ln>
          </cx:spPr>
        </cx:majorGridlines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5">
                    <a:lumMod val="50000"/>
                  </a:schemeClr>
                </a:solidFill>
              </a:defRPr>
            </a:pPr>
            <a:endParaRPr lang="en-US" sz="900" b="0" i="0" u="none" strike="noStrike" kern="1200" baseline="0">
              <a:solidFill>
                <a:schemeClr val="accent5">
                  <a:lumMod val="50000"/>
                </a:schemeClr>
              </a:solidFill>
              <a:latin typeface="Calibri" panose="020F0502020204030204"/>
            </a:endParaRPr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</cx:f>
      </cx:strDim>
      <cx:numDim type="val">
        <cx:f dir="row">_xlchart.v1.2</cx:f>
      </cx:numDim>
    </cx:data>
  </cx:chartData>
  <cx:chart>
    <cx:title pos="t" align="ctr" overlay="0">
      <cx:tx>
        <cx:txData>
          <cx:v>Gross Margin</cx:v>
        </cx:txData>
      </cx:tx>
      <cx:spPr>
        <a:noFill/>
        <a:ln>
          <a:noFill/>
        </a:ln>
      </cx:spPr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2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r>
            <a:rPr kumimoji="0" lang="en-US" sz="1200" b="1" i="0" u="none" strike="noStrike" kern="1200" cap="none" spc="0" normalizeH="0" baseline="0" noProof="0">
              <a:ln>
                <a:noFill/>
              </a:ln>
              <a:solidFill>
                <a:schemeClr val="accent5">
                  <a:lumMod val="50000"/>
                </a:schemeClr>
              </a:solidFill>
              <a:effectLst/>
              <a:uLnTx/>
              <a:uFillTx/>
              <a:latin typeface="Calibri" panose="020F0502020204030204"/>
            </a:rPr>
            <a:t>Gross Margin</a:t>
          </a:r>
        </a:p>
      </cx:txPr>
    </cx:title>
    <cx:plotArea>
      <cx:plotAreaRegion>
        <cx:series layoutId="waterfall" uniqueId="{76F8BF3A-2F31-4E7A-BB93-3AB9600D6D1B}" formatIdx="5">
          <cx:tx>
            <cx:txData>
              <cx:f>_xlchart.v1.0</cx:f>
              <cx:v>Gross margin</cx:v>
            </cx:txData>
          </cx:tx>
          <cx:spPr>
            <a:solidFill>
              <a:schemeClr val="accent5">
                <a:lumMod val="50000"/>
                <a:alpha val="80000"/>
              </a:schemeClr>
            </a:solidFill>
            <a:ln>
              <a:noFill/>
            </a:ln>
          </cx:spPr>
          <cx:dataLabels>
            <cx:numFmt formatCode="#,##0.00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accent5">
                        <a:lumMod val="50000"/>
                      </a:schemeClr>
                    </a:solidFill>
                  </a:defRPr>
                </a:pPr>
                <a:endParaRPr lang="en-US" sz="9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  <cx:dataLabel idx="2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US" sz="900" b="1" i="0" u="none" strike="noStrike" kern="1200" baseline="0">
                      <a:solidFill>
                        <a:schemeClr val="bg1"/>
                      </a:solidFill>
                      <a:latin typeface="Calibri" panose="020F0502020204030204"/>
                    </a:rPr>
                    <a:t>20.64</a:t>
                  </a:r>
                </a:p>
              </cx:txPr>
            </cx:dataLabel>
          </cx:dataLabels>
          <cx:dataId val="0"/>
          <cx:layoutPr>
            <cx:subtotals/>
          </cx:layoutPr>
        </cx:series>
      </cx:plotAreaRegion>
      <cx:axis id="0">
        <cx:catScaling gapWidth="2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5">
                    <a:lumMod val="50000"/>
                  </a:schemeClr>
                </a:solidFill>
              </a:defRPr>
            </a:pPr>
            <a:endParaRPr lang="en-US" sz="900" b="0" i="0" u="none" strike="noStrike" kern="1200" baseline="0">
              <a:solidFill>
                <a:schemeClr val="accent5">
                  <a:lumMod val="50000"/>
                </a:schemeClr>
              </a:solidFill>
              <a:latin typeface="Calibri" panose="020F0502020204030204"/>
            </a:endParaRPr>
          </a:p>
        </cx:txPr>
      </cx:axis>
      <cx:axis id="1">
        <cx:valScaling max="50"/>
        <cx:majorGridlines>
          <cx:spPr>
            <a:ln>
              <a:solidFill>
                <a:schemeClr val="bg1">
                  <a:lumMod val="65000"/>
                  <a:alpha val="25000"/>
                </a:schemeClr>
              </a:solidFill>
            </a:ln>
          </cx:spPr>
        </cx:majorGridlines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chemeClr val="accent5">
                    <a:lumMod val="50000"/>
                  </a:schemeClr>
                </a:solidFill>
              </a:defRPr>
            </a:pPr>
            <a:endParaRPr lang="en-US" sz="900" b="0" i="0" u="none" strike="noStrike" kern="1200" baseline="0">
              <a:solidFill>
                <a:schemeClr val="accent5">
                  <a:lumMod val="50000"/>
                </a:schemeClr>
              </a:solidFill>
              <a:latin typeface="Calibri" panose="020F0502020204030204"/>
            </a:endParaRPr>
          </a:p>
        </cx:txPr>
      </cx:axis>
    </cx:plotArea>
  </cx:chart>
  <cx:spPr>
    <a:noFill/>
    <a:ln>
      <a:solidFill>
        <a:schemeClr val="bg1">
          <a:lumMod val="6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41269</xdr:colOff>
      <xdr:row>0</xdr:row>
      <xdr:rowOff>28573</xdr:rowOff>
    </xdr:from>
    <xdr:to>
      <xdr:col>13</xdr:col>
      <xdr:colOff>512016</xdr:colOff>
      <xdr:row>8</xdr:row>
      <xdr:rowOff>59053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6D25832-23FA-499E-85CC-A4A4E7FF2B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57769" y="28573"/>
              <a:ext cx="2926080" cy="1554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twoCellAnchor>
    <xdr:from>
      <xdr:col>13</xdr:col>
      <xdr:colOff>549276</xdr:colOff>
      <xdr:row>0</xdr:row>
      <xdr:rowOff>23282</xdr:rowOff>
    </xdr:from>
    <xdr:to>
      <xdr:col>18</xdr:col>
      <xdr:colOff>406189</xdr:colOff>
      <xdr:row>8</xdr:row>
      <xdr:rowOff>53762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8DACDC5F-14FA-4187-ADFB-D7827D4EB2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1109" y="23282"/>
              <a:ext cx="2926080" cy="1554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105832</xdr:colOff>
      <xdr:row>12</xdr:row>
      <xdr:rowOff>74085</xdr:rowOff>
    </xdr:from>
    <xdr:to>
      <xdr:col>9</xdr:col>
      <xdr:colOff>0</xdr:colOff>
      <xdr:row>24</xdr:row>
      <xdr:rowOff>137583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81C979-DAA6-4027-A01E-C0708B95C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444499</xdr:colOff>
      <xdr:row>0</xdr:row>
      <xdr:rowOff>21166</xdr:rowOff>
    </xdr:from>
    <xdr:to>
      <xdr:col>23</xdr:col>
      <xdr:colOff>301412</xdr:colOff>
      <xdr:row>8</xdr:row>
      <xdr:rowOff>51646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8301280-09FC-4930-8C7B-448FDBD97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84667</xdr:colOff>
      <xdr:row>0</xdr:row>
      <xdr:rowOff>31749</xdr:rowOff>
    </xdr:from>
    <xdr:to>
      <xdr:col>8</xdr:col>
      <xdr:colOff>603250</xdr:colOff>
      <xdr:row>12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88E37-BD51-44C3-A18F-D9107684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31747</xdr:colOff>
      <xdr:row>8</xdr:row>
      <xdr:rowOff>95249</xdr:rowOff>
    </xdr:from>
    <xdr:to>
      <xdr:col>16</xdr:col>
      <xdr:colOff>158750</xdr:colOff>
      <xdr:row>24</xdr:row>
      <xdr:rowOff>156209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D9B7D61-666D-42F5-9B02-016F6FEE0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222250</xdr:colOff>
      <xdr:row>8</xdr:row>
      <xdr:rowOff>105833</xdr:rowOff>
    </xdr:from>
    <xdr:to>
      <xdr:col>23</xdr:col>
      <xdr:colOff>286596</xdr:colOff>
      <xdr:row>24</xdr:row>
      <xdr:rowOff>166793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BB8B837-336D-4852-8042-8FDCFE63C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showGridLines="0" tabSelected="1" zoomScale="90" zoomScaleNormal="90" workbookViewId="0">
      <selection activeCell="I2" sqref="I2"/>
    </sheetView>
  </sheetViews>
  <sheetFormatPr defaultRowHeight="15" x14ac:dyDescent="0.25"/>
  <cols>
    <col min="1" max="1" width="1.5703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Z50"/>
  <sheetViews>
    <sheetView zoomScaleNormal="100" workbookViewId="0">
      <selection activeCell="M1" sqref="M1"/>
    </sheetView>
  </sheetViews>
  <sheetFormatPr defaultRowHeight="14.25" customHeight="1" x14ac:dyDescent="0.2"/>
  <cols>
    <col min="1" max="1" width="4" style="9" customWidth="1"/>
    <col min="2" max="2" width="21.5703125" style="9" customWidth="1"/>
    <col min="3" max="5" width="10" style="9" customWidth="1"/>
    <col min="6" max="6" width="14.85546875" style="9" customWidth="1"/>
    <col min="7" max="7" width="16" style="9" customWidth="1"/>
    <col min="8" max="8" width="4.85546875" style="9" customWidth="1"/>
    <col min="9" max="9" width="4" style="9" customWidth="1"/>
    <col min="10" max="10" width="16.28515625" style="9" customWidth="1"/>
    <col min="11" max="11" width="14.5703125" style="9" customWidth="1"/>
    <col min="12" max="12" width="15.140625" style="9" customWidth="1"/>
    <col min="13" max="19" width="9" style="9" customWidth="1"/>
    <col min="20" max="20" width="6.5703125" style="9" customWidth="1"/>
    <col min="21" max="21" width="24.42578125" style="9" bestFit="1" customWidth="1"/>
    <col min="22" max="23" width="9.140625" style="9"/>
    <col min="24" max="24" width="31.85546875" style="9" bestFit="1" customWidth="1"/>
    <col min="25" max="25" width="24.42578125" style="9" bestFit="1" customWidth="1"/>
    <col min="26" max="16384" width="9.140625" style="9"/>
  </cols>
  <sheetData>
    <row r="1" spans="2:26" ht="14.25" customHeight="1" x14ac:dyDescent="0.25">
      <c r="B1" s="18" t="s">
        <v>234</v>
      </c>
      <c r="C1" s="89" t="s">
        <v>249</v>
      </c>
      <c r="D1" s="89"/>
      <c r="E1" s="89"/>
      <c r="F1" s="89"/>
      <c r="G1" s="89"/>
      <c r="H1" s="89"/>
      <c r="I1" s="89"/>
      <c r="J1" s="89"/>
      <c r="K1" s="89"/>
      <c r="L1" s="89"/>
    </row>
    <row r="2" spans="2:26" ht="7.5" customHeight="1" x14ac:dyDescent="0.2">
      <c r="B2" s="8"/>
    </row>
    <row r="3" spans="2:26" ht="14.25" customHeight="1" thickBot="1" x14ac:dyDescent="0.25">
      <c r="B3" s="63" t="s">
        <v>235</v>
      </c>
      <c r="C3" s="64" t="s">
        <v>202</v>
      </c>
      <c r="D3" s="64" t="s">
        <v>203</v>
      </c>
      <c r="E3" s="64" t="s">
        <v>204</v>
      </c>
      <c r="F3" s="64" t="s">
        <v>244</v>
      </c>
      <c r="G3" s="65" t="s">
        <v>245</v>
      </c>
      <c r="H3" s="10"/>
      <c r="I3" s="10"/>
      <c r="J3" s="58" t="s">
        <v>235</v>
      </c>
      <c r="K3" s="59" t="s">
        <v>244</v>
      </c>
      <c r="L3" s="60" t="s">
        <v>245</v>
      </c>
      <c r="M3" s="10"/>
      <c r="N3" s="10"/>
      <c r="O3" s="10"/>
      <c r="P3" s="10"/>
      <c r="Q3" s="10"/>
      <c r="R3" s="10"/>
      <c r="S3" s="10"/>
    </row>
    <row r="4" spans="2:26" ht="14.25" customHeight="1" x14ac:dyDescent="0.25">
      <c r="B4" s="66" t="s">
        <v>207</v>
      </c>
      <c r="C4" s="67">
        <f>SUMIF(Database!$I:$I,'P&amp;L statement'!$B4,Database!F:F)/1000000</f>
        <v>14.500341000000001</v>
      </c>
      <c r="D4" s="67">
        <f>SUMIF(Database!$I:$I,'P&amp;L statement'!$B4,Database!G:G)/1000000</f>
        <v>16.148295364999999</v>
      </c>
      <c r="E4" s="67">
        <f>SUMIF(Database!$I:$I,'P&amp;L statement'!$B4,Database!H:H)/1000000</f>
        <v>15.047803019</v>
      </c>
      <c r="F4" s="19">
        <f>IF(IFERROR(((D4/C4)-1),"n.a."),IF(((D4/C4)-1)&gt;1,"&gt;100.0%",IF(((D4/C4)-1)&lt;-1,"&lt;-100.0%",((D4/C4)-1))))</f>
        <v>0.11364935245315944</v>
      </c>
      <c r="G4" s="68">
        <f t="shared" ref="G4:G24" si="0">IF(IFERROR(((E4/D4)-1),"n.a."),IF(((E4/D4)-1)&gt;1,"&gt;100.0%",IF(((E4/D4)-1)&lt;-1,"&lt;-100.0%",((E4/D4)-1))))</f>
        <v>-6.8149134080444096E-2</v>
      </c>
      <c r="H4" s="11"/>
      <c r="I4" s="11"/>
      <c r="J4" s="62" t="s">
        <v>236</v>
      </c>
      <c r="K4" s="61">
        <f>$F$7</f>
        <v>0.15622093183140207</v>
      </c>
      <c r="L4" s="61">
        <f>$G$7</f>
        <v>1.0832310402506318E-2</v>
      </c>
      <c r="M4" s="11"/>
      <c r="N4" s="11"/>
      <c r="O4" s="11"/>
      <c r="P4" s="11"/>
      <c r="Q4" s="11"/>
      <c r="R4" s="11"/>
      <c r="S4" s="11"/>
      <c r="U4" s="8" t="s">
        <v>205</v>
      </c>
      <c r="X4" s="8" t="s">
        <v>84</v>
      </c>
      <c r="Y4" s="8" t="s">
        <v>205</v>
      </c>
      <c r="Z4" s="8" t="s">
        <v>206</v>
      </c>
    </row>
    <row r="5" spans="2:26" ht="14.25" customHeight="1" x14ac:dyDescent="0.25">
      <c r="B5" s="66" t="s">
        <v>58</v>
      </c>
      <c r="C5" s="67">
        <f>SUMIF(Database!$I:$I,'P&amp;L statement'!$B5,Database!F:F)/1000000</f>
        <v>4.7948561920000001</v>
      </c>
      <c r="D5" s="67">
        <f>SUMIF(Database!$I:$I,'P&amp;L statement'!$B5,Database!G:G)/1000000</f>
        <v>6.9602176449999993</v>
      </c>
      <c r="E5" s="67">
        <f>SUMIF(Database!$I:$I,'P&amp;L statement'!$B5,Database!H:H)/1000000</f>
        <v>6.3736175140000002</v>
      </c>
      <c r="F5" s="19">
        <f t="shared" ref="F5:F24" si="1">IF(IFERROR(((D5/C5)-1),"n.a."),IF(((D5/C5)-1)&gt;1,"&gt;100.0%",IF(((D5/C5)-1)&lt;-1,"&lt;-100.0%",((D5/C5)-1))))</f>
        <v>0.45160091696030569</v>
      </c>
      <c r="G5" s="69">
        <f t="shared" si="0"/>
        <v>-8.4278992542911935E-2</v>
      </c>
      <c r="H5" s="11"/>
      <c r="I5" s="11"/>
      <c r="J5" s="62" t="s">
        <v>237</v>
      </c>
      <c r="K5" s="61">
        <f>$F$9</f>
        <v>0.13729016174266606</v>
      </c>
      <c r="L5" s="61">
        <f>$G$9</f>
        <v>3.4531858064625887E-3</v>
      </c>
      <c r="M5" s="11"/>
      <c r="N5" s="11"/>
      <c r="O5" s="11"/>
      <c r="P5" s="11"/>
      <c r="Q5" s="11"/>
      <c r="R5" s="11"/>
      <c r="S5" s="11"/>
      <c r="U5" s="9" t="s">
        <v>207</v>
      </c>
      <c r="X5" s="9" t="s">
        <v>57</v>
      </c>
      <c r="Y5" s="9" t="s">
        <v>207</v>
      </c>
      <c r="Z5" s="9" t="s">
        <v>208</v>
      </c>
    </row>
    <row r="6" spans="2:26" ht="14.25" customHeight="1" x14ac:dyDescent="0.25">
      <c r="B6" s="70" t="s">
        <v>215</v>
      </c>
      <c r="C6" s="12">
        <f>SUMIF(Database!$I:$I,'P&amp;L statement'!$B6,Database!F:F)/1000000</f>
        <v>3.2200542519999997</v>
      </c>
      <c r="D6" s="12">
        <f>SUMIF(Database!$I:$I,'P&amp;L statement'!$B6,Database!G:G)/1000000</f>
        <v>2.9240919949999999</v>
      </c>
      <c r="E6" s="12">
        <f>SUMIF(Database!$I:$I,'P&amp;L statement'!$B6,Database!H:H)/1000000</f>
        <v>4.8931777299999997</v>
      </c>
      <c r="F6" s="20">
        <f t="shared" si="1"/>
        <v>-9.1912195832158816E-2</v>
      </c>
      <c r="G6" s="71">
        <f t="shared" si="0"/>
        <v>0.67340074743441836</v>
      </c>
      <c r="H6" s="11"/>
      <c r="I6" s="11"/>
      <c r="J6" s="62" t="s">
        <v>238</v>
      </c>
      <c r="K6" s="61">
        <f>$F$17</f>
        <v>-0.51074374603234896</v>
      </c>
      <c r="L6" s="61">
        <f>$G$17</f>
        <v>0.30229803256221044</v>
      </c>
      <c r="M6" s="11"/>
      <c r="N6" s="11"/>
      <c r="O6" s="11"/>
      <c r="P6" s="11"/>
      <c r="Q6" s="11"/>
      <c r="R6" s="11"/>
      <c r="S6" s="11"/>
      <c r="U6" s="9" t="s">
        <v>58</v>
      </c>
      <c r="X6" s="9" t="s">
        <v>58</v>
      </c>
      <c r="Y6" s="9" t="s">
        <v>58</v>
      </c>
      <c r="Z6" s="9" t="s">
        <v>209</v>
      </c>
    </row>
    <row r="7" spans="2:26" ht="14.25" customHeight="1" x14ac:dyDescent="0.25">
      <c r="B7" s="72" t="s">
        <v>236</v>
      </c>
      <c r="C7" s="73">
        <f>SUM(C$4:C$6)</f>
        <v>22.515251444</v>
      </c>
      <c r="D7" s="73">
        <f t="shared" ref="D7:E7" si="2">SUM(D$4:D$6)</f>
        <v>26.032605005000001</v>
      </c>
      <c r="E7" s="73">
        <f t="shared" si="2"/>
        <v>26.314598263000001</v>
      </c>
      <c r="F7" s="21">
        <f t="shared" si="1"/>
        <v>0.15622093183140207</v>
      </c>
      <c r="G7" s="74">
        <f t="shared" si="0"/>
        <v>1.0832310402506318E-2</v>
      </c>
      <c r="H7" s="13"/>
      <c r="I7" s="13"/>
      <c r="J7" s="62" t="s">
        <v>240</v>
      </c>
      <c r="K7" s="61">
        <f>$F$19</f>
        <v>-0.67746653591127581</v>
      </c>
      <c r="L7" s="61">
        <f>$G$19</f>
        <v>0.68553869599523498</v>
      </c>
      <c r="M7" s="13"/>
      <c r="N7" s="13"/>
      <c r="O7" s="13"/>
      <c r="P7" s="13"/>
      <c r="Q7" s="13"/>
      <c r="R7" s="13"/>
      <c r="S7" s="13"/>
      <c r="U7" s="9" t="s">
        <v>59</v>
      </c>
      <c r="X7" s="9" t="s">
        <v>59</v>
      </c>
      <c r="Y7" s="9" t="s">
        <v>59</v>
      </c>
      <c r="Z7" s="9" t="s">
        <v>210</v>
      </c>
    </row>
    <row r="8" spans="2:26" ht="14.25" customHeight="1" x14ac:dyDescent="0.25">
      <c r="B8" s="75" t="s">
        <v>89</v>
      </c>
      <c r="C8" s="14">
        <f>SUMIF(Database!$I:$I,'P&amp;L statement'!$B8,Database!F:F)/1000000</f>
        <v>-4.4289117640000004</v>
      </c>
      <c r="D8" s="14">
        <f>SUMIF(Database!$I:$I,'P&amp;L statement'!$B8,Database!G:G)/1000000</f>
        <v>-5.4631888250000005</v>
      </c>
      <c r="E8" s="14">
        <f>SUMIF(Database!$I:$I,'P&amp;L statement'!$B8,Database!H:H)/1000000</f>
        <v>-5.6741520669999996</v>
      </c>
      <c r="F8" s="22">
        <f t="shared" si="1"/>
        <v>0.23352848647991253</v>
      </c>
      <c r="G8" s="76">
        <f t="shared" si="0"/>
        <v>3.861540370609462E-2</v>
      </c>
      <c r="H8" s="11"/>
      <c r="I8" s="11"/>
      <c r="J8" s="62" t="s">
        <v>239</v>
      </c>
      <c r="K8" s="61" t="str">
        <f>$F$22</f>
        <v>&lt;-100.0%</v>
      </c>
      <c r="L8" s="61" t="str">
        <f>$G$22</f>
        <v>&lt;-100.0%</v>
      </c>
      <c r="M8" s="11"/>
      <c r="N8" s="11"/>
      <c r="O8" s="11"/>
      <c r="P8" s="11"/>
      <c r="Q8" s="11"/>
      <c r="R8" s="11"/>
      <c r="S8" s="11"/>
      <c r="U8" s="9" t="s">
        <v>89</v>
      </c>
      <c r="X8" s="9" t="s">
        <v>89</v>
      </c>
      <c r="Y8" s="9" t="s">
        <v>89</v>
      </c>
      <c r="Z8" s="9" t="s">
        <v>210</v>
      </c>
    </row>
    <row r="9" spans="2:26" ht="14.25" customHeight="1" x14ac:dyDescent="0.25">
      <c r="B9" s="72" t="s">
        <v>237</v>
      </c>
      <c r="C9" s="73">
        <f>SUM(C$7:C$8)</f>
        <v>18.086339680000002</v>
      </c>
      <c r="D9" s="73">
        <f t="shared" ref="D9:E9" si="3">SUM(D$7:D$8)</f>
        <v>20.569416180000001</v>
      </c>
      <c r="E9" s="73">
        <f t="shared" si="3"/>
        <v>20.640446195999999</v>
      </c>
      <c r="F9" s="21">
        <f t="shared" si="1"/>
        <v>0.13729016174266606</v>
      </c>
      <c r="G9" s="74">
        <f t="shared" si="0"/>
        <v>3.4531858064625887E-3</v>
      </c>
      <c r="H9" s="13"/>
      <c r="I9" s="13"/>
      <c r="J9" s="62" t="s">
        <v>227</v>
      </c>
      <c r="K9" s="61" t="str">
        <f>$F$24</f>
        <v>&lt;-100.0%</v>
      </c>
      <c r="L9" s="61" t="str">
        <f>$G$24</f>
        <v>&lt;-100.0%</v>
      </c>
      <c r="M9" s="13"/>
      <c r="N9" s="13"/>
      <c r="O9" s="13"/>
      <c r="P9" s="13"/>
      <c r="Q9" s="13"/>
      <c r="R9" s="13"/>
      <c r="S9" s="13"/>
      <c r="U9" s="9" t="s">
        <v>211</v>
      </c>
      <c r="X9" s="9" t="s">
        <v>61</v>
      </c>
      <c r="Y9" s="9" t="s">
        <v>211</v>
      </c>
      <c r="Z9" s="9" t="s">
        <v>214</v>
      </c>
    </row>
    <row r="10" spans="2:26" ht="14.25" customHeight="1" x14ac:dyDescent="0.2">
      <c r="B10" s="66" t="s">
        <v>211</v>
      </c>
      <c r="C10" s="67">
        <f>SUMIF(Database!$I:$I,'P&amp;L statement'!$B10,Database!F:F)/1000000</f>
        <v>-3.3966489799999997</v>
      </c>
      <c r="D10" s="77">
        <f>SUMIF(Database!$I:$I,'P&amp;L statement'!$B10,Database!G:G)/1000000</f>
        <v>-3.8622382400000004</v>
      </c>
      <c r="E10" s="67">
        <f>SUMIF(Database!$I:$I,'P&amp;L statement'!$B10,Database!H:H)/1000000</f>
        <v>-6.6874830379999999</v>
      </c>
      <c r="F10" s="23">
        <f t="shared" si="1"/>
        <v>0.13707311610397865</v>
      </c>
      <c r="G10" s="78">
        <f t="shared" si="0"/>
        <v>0.73150453763825807</v>
      </c>
      <c r="H10" s="15"/>
      <c r="I10" s="15"/>
      <c r="M10" s="15"/>
      <c r="N10" s="15"/>
      <c r="O10" s="15"/>
      <c r="P10" s="15"/>
      <c r="Q10" s="15"/>
      <c r="R10" s="15"/>
      <c r="S10" s="15"/>
      <c r="U10" s="9" t="s">
        <v>212</v>
      </c>
      <c r="X10" s="9" t="s">
        <v>60</v>
      </c>
      <c r="Y10" s="9" t="s">
        <v>211</v>
      </c>
      <c r="Z10" s="9" t="s">
        <v>214</v>
      </c>
    </row>
    <row r="11" spans="2:26" ht="14.25" customHeight="1" x14ac:dyDescent="0.2">
      <c r="B11" s="66" t="s">
        <v>212</v>
      </c>
      <c r="C11" s="67">
        <f>SUMIF(Database!$I:$I,'P&amp;L statement'!$B11,Database!F:F)/1000000</f>
        <v>-6.17073904</v>
      </c>
      <c r="D11" s="67">
        <f>SUMIF(Database!$I:$I,'P&amp;L statement'!$B11,Database!G:G)/1000000</f>
        <v>-8.0718589449999989</v>
      </c>
      <c r="E11" s="67">
        <f>SUMIF(Database!$I:$I,'P&amp;L statement'!$B11,Database!H:H)/1000000</f>
        <v>-5.8358881759999992</v>
      </c>
      <c r="F11" s="19">
        <f t="shared" si="1"/>
        <v>0.30808625882192531</v>
      </c>
      <c r="G11" s="69">
        <f t="shared" si="0"/>
        <v>-0.27700815688622027</v>
      </c>
      <c r="H11" s="11"/>
      <c r="I11" s="11"/>
      <c r="J11" s="29" t="s">
        <v>241</v>
      </c>
      <c r="K11" s="30" t="s">
        <v>202</v>
      </c>
      <c r="L11" s="30" t="s">
        <v>203</v>
      </c>
      <c r="M11" s="30" t="s">
        <v>204</v>
      </c>
      <c r="N11" s="11"/>
      <c r="O11" s="11"/>
      <c r="P11" s="11"/>
      <c r="Q11" s="11"/>
      <c r="R11" s="11"/>
      <c r="S11" s="11"/>
      <c r="U11" s="9" t="s">
        <v>64</v>
      </c>
      <c r="X11" s="9" t="s">
        <v>1</v>
      </c>
      <c r="Y11" s="9" t="s">
        <v>212</v>
      </c>
      <c r="Z11" s="9" t="s">
        <v>213</v>
      </c>
    </row>
    <row r="12" spans="2:26" ht="14.25" customHeight="1" x14ac:dyDescent="0.2">
      <c r="B12" s="66" t="s">
        <v>69</v>
      </c>
      <c r="C12" s="67">
        <f>SUMIF(Database!$I:$I,'P&amp;L statement'!$B12,Database!F:F)/1000000</f>
        <v>-1.127445872</v>
      </c>
      <c r="D12" s="67">
        <f>SUMIF(Database!$I:$I,'P&amp;L statement'!$B12,Database!G:G)/1000000</f>
        <v>-1.0553814750000001</v>
      </c>
      <c r="E12" s="67">
        <f>SUMIF(Database!$I:$I,'P&amp;L statement'!$B12,Database!H:H)/1000000</f>
        <v>1.596053449</v>
      </c>
      <c r="F12" s="19">
        <f t="shared" si="1"/>
        <v>-6.391827651305626E-2</v>
      </c>
      <c r="G12" s="69" t="str">
        <f t="shared" si="0"/>
        <v>&lt;-100.0%</v>
      </c>
      <c r="H12" s="11"/>
      <c r="I12" s="11"/>
      <c r="J12" s="26" t="s">
        <v>246</v>
      </c>
      <c r="K12" s="27">
        <f>C$9/C$7</f>
        <v>0.80329281353949789</v>
      </c>
      <c r="L12" s="27">
        <f>D$9/D$7</f>
        <v>0.79014052477841912</v>
      </c>
      <c r="M12" s="27">
        <f>E$9/E$7</f>
        <v>0.78437246085651935</v>
      </c>
      <c r="N12" s="11"/>
      <c r="O12" s="11"/>
      <c r="P12" s="11"/>
      <c r="Q12" s="11"/>
      <c r="R12" s="11"/>
      <c r="S12" s="11"/>
      <c r="U12" s="9" t="s">
        <v>215</v>
      </c>
      <c r="X12" s="9" t="s">
        <v>62</v>
      </c>
      <c r="Y12" s="9" t="s">
        <v>212</v>
      </c>
      <c r="Z12" s="9" t="s">
        <v>213</v>
      </c>
    </row>
    <row r="13" spans="2:26" ht="14.25" customHeight="1" x14ac:dyDescent="0.2">
      <c r="B13" s="66" t="s">
        <v>216</v>
      </c>
      <c r="C13" s="67">
        <f>SUMIF(Database!$I:$I,'P&amp;L statement'!$B13,Database!F:F)/1000000</f>
        <v>-2.5430882079999995</v>
      </c>
      <c r="D13" s="67">
        <f>SUMIF(Database!$I:$I,'P&amp;L statement'!$B13,Database!G:G)/1000000</f>
        <v>-1.837786345</v>
      </c>
      <c r="E13" s="67">
        <f>SUMIF(Database!$I:$I,'P&amp;L statement'!$B13,Database!H:H)/1000000</f>
        <v>-1.9549839309999999</v>
      </c>
      <c r="F13" s="19">
        <f t="shared" si="1"/>
        <v>-0.27734069969782171</v>
      </c>
      <c r="G13" s="69">
        <f t="shared" si="0"/>
        <v>6.3771061483210545E-2</v>
      </c>
      <c r="H13" s="11"/>
      <c r="I13" s="11"/>
      <c r="J13" s="26" t="s">
        <v>242</v>
      </c>
      <c r="K13" s="28">
        <f>C$17/C$7</f>
        <v>0.36878477758296191</v>
      </c>
      <c r="L13" s="28">
        <f>D$17/D$7</f>
        <v>0.15605171454104358</v>
      </c>
      <c r="M13" s="28">
        <f>E$17/E$7</f>
        <v>0.20104802619916018</v>
      </c>
      <c r="N13" s="11"/>
      <c r="O13" s="11"/>
      <c r="P13" s="11"/>
      <c r="Q13" s="11"/>
      <c r="R13" s="11"/>
      <c r="S13" s="11"/>
      <c r="U13" s="9" t="s">
        <v>66</v>
      </c>
      <c r="X13" s="9" t="s">
        <v>63</v>
      </c>
      <c r="Y13" s="9" t="s">
        <v>212</v>
      </c>
      <c r="Z13" s="9" t="s">
        <v>213</v>
      </c>
    </row>
    <row r="14" spans="2:26" ht="14.25" customHeight="1" x14ac:dyDescent="0.2">
      <c r="B14" s="66" t="s">
        <v>217</v>
      </c>
      <c r="C14" s="67">
        <f>SUMIF(Database!$I:$I,'P&amp;L statement'!$B14,Database!F:F)/1000000</f>
        <v>-1.8135250039999999</v>
      </c>
      <c r="D14" s="67">
        <f>SUMIF(Database!$I:$I,'P&amp;L statement'!$B14,Database!G:G)/1000000</f>
        <v>-2.41718799</v>
      </c>
      <c r="E14" s="67">
        <f>SUMIF(Database!$I:$I,'P&amp;L statement'!$B14,Database!H:H)/1000000</f>
        <v>-2.5144318869999998</v>
      </c>
      <c r="F14" s="23">
        <f t="shared" si="1"/>
        <v>0.3328671976777442</v>
      </c>
      <c r="G14" s="78">
        <f t="shared" si="0"/>
        <v>4.0230175477580454E-2</v>
      </c>
      <c r="H14" s="15"/>
      <c r="I14" s="15"/>
      <c r="J14" s="26" t="s">
        <v>243</v>
      </c>
      <c r="K14" s="28">
        <f>C$19/C$7</f>
        <v>0.2779466397506159</v>
      </c>
      <c r="L14" s="28">
        <f>D$19/D$7</f>
        <v>7.7534569806299788E-2</v>
      </c>
      <c r="M14" s="28">
        <f>E$19/E$7</f>
        <v>0.12928704033394345</v>
      </c>
      <c r="N14" s="15"/>
      <c r="O14" s="15"/>
      <c r="P14" s="15"/>
      <c r="Q14" s="15"/>
      <c r="R14" s="15"/>
      <c r="S14" s="15"/>
      <c r="U14" s="9" t="s">
        <v>69</v>
      </c>
      <c r="X14" s="9" t="s">
        <v>64</v>
      </c>
      <c r="Y14" s="9" t="s">
        <v>64</v>
      </c>
      <c r="Z14" s="9" t="s">
        <v>210</v>
      </c>
    </row>
    <row r="15" spans="2:26" ht="14.25" customHeight="1" x14ac:dyDescent="0.2">
      <c r="B15" s="66" t="s">
        <v>66</v>
      </c>
      <c r="C15" s="67">
        <f>SUMIF(Database!$I:$I,'P&amp;L statement'!$B15,Database!F:F)/1000000</f>
        <v>5.7221999999999995E-5</v>
      </c>
      <c r="D15" s="67">
        <f>SUMIF(Database!$I:$I,'P&amp;L statement'!$B15,Database!G:G)/1000000</f>
        <v>-7.3574899999999995E-3</v>
      </c>
      <c r="E15" s="67">
        <f>SUMIF(Database!$I:$I,'P&amp;L statement'!$B15,Database!H:H)/1000000</f>
        <v>4.678542799999999E-2</v>
      </c>
      <c r="F15" s="19" t="str">
        <f t="shared" si="1"/>
        <v>&lt;-100.0%</v>
      </c>
      <c r="G15" s="69" t="str">
        <f t="shared" si="0"/>
        <v>&lt;-100.0%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U15" s="9" t="s">
        <v>216</v>
      </c>
      <c r="X15" s="9" t="s">
        <v>65</v>
      </c>
      <c r="Y15" s="9" t="s">
        <v>215</v>
      </c>
      <c r="Z15" s="9" t="s">
        <v>210</v>
      </c>
    </row>
    <row r="16" spans="2:26" ht="14.25" customHeight="1" x14ac:dyDescent="0.2">
      <c r="B16" s="66" t="s">
        <v>59</v>
      </c>
      <c r="C16" s="67">
        <f>SUMIF(Database!$I:$I,'P&amp;L statement'!$B16,Database!F:F)/1000000</f>
        <v>5.2683321979999995</v>
      </c>
      <c r="D16" s="67">
        <f>SUMIF(Database!$I:$I,'P&amp;L statement'!$B16,Database!G:G)/1000000</f>
        <v>0.74482694999999999</v>
      </c>
      <c r="E16" s="67">
        <f>SUMIF(Database!$I:$I,'P&amp;L statement'!$B16,Database!H:H)/1000000</f>
        <v>0</v>
      </c>
      <c r="F16" s="19">
        <f t="shared" si="1"/>
        <v>-0.85862187082986985</v>
      </c>
      <c r="G16" s="69">
        <f t="shared" si="0"/>
        <v>-1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U16" s="9" t="s">
        <v>217</v>
      </c>
      <c r="X16" s="9" t="s">
        <v>66</v>
      </c>
      <c r="Y16" s="9" t="s">
        <v>66</v>
      </c>
      <c r="Z16" s="9" t="s">
        <v>210</v>
      </c>
    </row>
    <row r="17" spans="2:26" ht="14.25" customHeight="1" x14ac:dyDescent="0.2">
      <c r="B17" s="79" t="s">
        <v>238</v>
      </c>
      <c r="C17" s="80">
        <f>SUM(C$9:C$16)</f>
        <v>8.3032819960000026</v>
      </c>
      <c r="D17" s="81">
        <f t="shared" ref="D17:E17" si="4">SUM(D$9:D$16)</f>
        <v>4.0624326450000021</v>
      </c>
      <c r="E17" s="80">
        <f t="shared" si="4"/>
        <v>5.2904980409999993</v>
      </c>
      <c r="F17" s="24">
        <f t="shared" si="1"/>
        <v>-0.51074374603234896</v>
      </c>
      <c r="G17" s="82">
        <f t="shared" si="0"/>
        <v>0.30229803256221044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U17" s="9" t="s">
        <v>220</v>
      </c>
      <c r="X17" s="9" t="s">
        <v>67</v>
      </c>
      <c r="Y17" s="9" t="s">
        <v>211</v>
      </c>
      <c r="Z17" s="9" t="s">
        <v>214</v>
      </c>
    </row>
    <row r="18" spans="2:26" ht="14.25" customHeight="1" x14ac:dyDescent="0.2">
      <c r="B18" s="75" t="s">
        <v>64</v>
      </c>
      <c r="C18" s="14">
        <f>SUMIF(Database!$I:$I,'P&amp;L statement'!$B18,Database!F:F)/1000000</f>
        <v>-2.045243514</v>
      </c>
      <c r="D18" s="14">
        <f>SUMIF(Database!$I:$I,'P&amp;L statement'!$B18,Database!G:G)/1000000</f>
        <v>-2.0440058150000002</v>
      </c>
      <c r="E18" s="14">
        <f>SUMIF(Database!$I:$I,'P&amp;L statement'!$B18,Database!H:H)/1000000</f>
        <v>-1.8883615140000001</v>
      </c>
      <c r="F18" s="22">
        <f t="shared" si="1"/>
        <v>-6.0515972378227811E-4</v>
      </c>
      <c r="G18" s="76">
        <f t="shared" si="0"/>
        <v>-7.6146701666795491E-2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U18" s="9" t="s">
        <v>221</v>
      </c>
      <c r="X18" s="9" t="s">
        <v>68</v>
      </c>
      <c r="Y18" s="9" t="s">
        <v>211</v>
      </c>
      <c r="Z18" s="9" t="s">
        <v>214</v>
      </c>
    </row>
    <row r="19" spans="2:26" ht="14.25" customHeight="1" x14ac:dyDescent="0.2">
      <c r="B19" s="72" t="s">
        <v>239</v>
      </c>
      <c r="C19" s="73">
        <f>SUM(C$17:C$18)</f>
        <v>6.2580384820000026</v>
      </c>
      <c r="D19" s="83">
        <f t="shared" ref="D19:E19" si="5">SUM(D$17:D$18)</f>
        <v>2.0184268300000019</v>
      </c>
      <c r="E19" s="73">
        <f t="shared" si="5"/>
        <v>3.4021365269999992</v>
      </c>
      <c r="F19" s="25">
        <f t="shared" si="1"/>
        <v>-0.67746653591127581</v>
      </c>
      <c r="G19" s="84">
        <f t="shared" si="0"/>
        <v>0.68553869599523498</v>
      </c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U19" s="9" t="s">
        <v>223</v>
      </c>
      <c r="X19" s="9" t="s">
        <v>69</v>
      </c>
      <c r="Y19" s="9" t="s">
        <v>69</v>
      </c>
      <c r="Z19" s="9" t="s">
        <v>210</v>
      </c>
    </row>
    <row r="20" spans="2:26" ht="14.25" customHeight="1" x14ac:dyDescent="0.2">
      <c r="B20" s="66" t="s">
        <v>220</v>
      </c>
      <c r="C20" s="67">
        <f>SUMIF(Database!$I:$I,'P&amp;L statement'!$B20,Database!F:F)/1000000</f>
        <v>-2.8426923660000001</v>
      </c>
      <c r="D20" s="67">
        <f>SUMIF(Database!$I:$I,'P&amp;L statement'!$B20,Database!G:G)/1000000</f>
        <v>-2.7107469200000001</v>
      </c>
      <c r="E20" s="67">
        <f>SUMIF(Database!$I:$I,'P&amp;L statement'!$B20,Database!H:H)/1000000</f>
        <v>-2.250707829</v>
      </c>
      <c r="F20" s="19">
        <f t="shared" si="1"/>
        <v>-4.6415661285805099E-2</v>
      </c>
      <c r="G20" s="69">
        <f t="shared" si="0"/>
        <v>-0.16970934748862498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U20" s="9" t="s">
        <v>227</v>
      </c>
      <c r="X20" s="9" t="s">
        <v>70</v>
      </c>
      <c r="Y20" s="9" t="s">
        <v>216</v>
      </c>
      <c r="Z20" s="9" t="s">
        <v>210</v>
      </c>
    </row>
    <row r="21" spans="2:26" ht="14.25" customHeight="1" x14ac:dyDescent="0.2">
      <c r="B21" s="75" t="s">
        <v>221</v>
      </c>
      <c r="C21" s="14">
        <f>SUMIF(Database!$I:$I,'P&amp;L statement'!$B21,Database!F:F)/1000000</f>
        <v>-2.2762999999999999E-2</v>
      </c>
      <c r="D21" s="17">
        <f>SUMIF(Database!$I:$I,'P&amp;L statement'!$B21,Database!G:G)/1000000</f>
        <v>-4.3972961050000006</v>
      </c>
      <c r="E21" s="14">
        <f>SUMIF(Database!$I:$I,'P&amp;L statement'!$B21,Database!H:H)/1000000</f>
        <v>-7.1731959999999989E-3</v>
      </c>
      <c r="F21" s="22" t="str">
        <f t="shared" si="1"/>
        <v>&gt;100.0%</v>
      </c>
      <c r="G21" s="76">
        <f t="shared" si="0"/>
        <v>-0.99836872572855773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X21" s="9" t="s">
        <v>7</v>
      </c>
      <c r="Y21" s="9" t="s">
        <v>211</v>
      </c>
      <c r="Z21" s="9" t="s">
        <v>214</v>
      </c>
    </row>
    <row r="22" spans="2:26" ht="14.25" customHeight="1" x14ac:dyDescent="0.2">
      <c r="B22" s="72" t="s">
        <v>240</v>
      </c>
      <c r="C22" s="73">
        <f>SUM(C$19:C$21)</f>
        <v>3.3925831160000026</v>
      </c>
      <c r="D22" s="73">
        <f t="shared" ref="D22:E22" si="6">SUM(D$19:D$21)</f>
        <v>-5.0896161949999987</v>
      </c>
      <c r="E22" s="73">
        <f t="shared" si="6"/>
        <v>1.1442555019999991</v>
      </c>
      <c r="F22" s="21" t="str">
        <f t="shared" si="1"/>
        <v>&lt;-100.0%</v>
      </c>
      <c r="G22" s="74" t="str">
        <f t="shared" si="0"/>
        <v>&lt;-100.0%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X22" s="9" t="s">
        <v>71</v>
      </c>
      <c r="Y22" s="9" t="s">
        <v>211</v>
      </c>
      <c r="Z22" s="9" t="s">
        <v>214</v>
      </c>
    </row>
    <row r="23" spans="2:26" ht="14.25" customHeight="1" x14ac:dyDescent="0.2">
      <c r="B23" s="75" t="s">
        <v>223</v>
      </c>
      <c r="C23" s="14">
        <f>SUMIF(Database!$I:$I,'P&amp;L statement'!$B23,Database!F:F)/1000000</f>
        <v>-0.48846512199999997</v>
      </c>
      <c r="D23" s="14">
        <f>SUMIF(Database!$I:$I,'P&amp;L statement'!$B23,Database!G:G)/1000000</f>
        <v>-0.98419196500000017</v>
      </c>
      <c r="E23" s="14">
        <f>SUMIF(Database!$I:$I,'P&amp;L statement'!$B23,Database!H:H)/1000000</f>
        <v>-0.36496502599999997</v>
      </c>
      <c r="F23" s="22" t="str">
        <f t="shared" si="1"/>
        <v>&gt;100.0%</v>
      </c>
      <c r="G23" s="76">
        <f t="shared" si="0"/>
        <v>-0.62917292664546398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X23" s="9" t="s">
        <v>8</v>
      </c>
      <c r="Y23" s="9" t="s">
        <v>217</v>
      </c>
      <c r="Z23" s="9" t="s">
        <v>210</v>
      </c>
    </row>
    <row r="24" spans="2:26" ht="14.25" customHeight="1" x14ac:dyDescent="0.2">
      <c r="B24" s="85" t="s">
        <v>227</v>
      </c>
      <c r="C24" s="86">
        <f>SUMIF(Database!$I:$I,'P&amp;L statement'!$B24,Database!F:F)/1000000</f>
        <v>-2.9041179939999986</v>
      </c>
      <c r="D24" s="86">
        <f>SUMIF(Database!$I:$I,'P&amp;L statement'!$B24,Database!G:G)/1000000</f>
        <v>6.0738081600000005</v>
      </c>
      <c r="E24" s="86">
        <f>SUMIF(Database!$I:$I,'P&amp;L statement'!$B24,Database!H:H)/1000000</f>
        <v>-0.77929047600000001</v>
      </c>
      <c r="F24" s="87" t="str">
        <f t="shared" si="1"/>
        <v>&lt;-100.0%</v>
      </c>
      <c r="G24" s="88" t="str">
        <f t="shared" si="0"/>
        <v>&lt;-100.0%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X24" s="9" t="s">
        <v>72</v>
      </c>
      <c r="Y24" s="9" t="s">
        <v>211</v>
      </c>
      <c r="Z24" s="9" t="s">
        <v>214</v>
      </c>
    </row>
    <row r="25" spans="2:26" ht="14.25" customHeight="1" x14ac:dyDescent="0.2">
      <c r="X25" s="9" t="s">
        <v>73</v>
      </c>
      <c r="Y25" s="9" t="s">
        <v>211</v>
      </c>
      <c r="Z25" s="9" t="s">
        <v>214</v>
      </c>
    </row>
    <row r="26" spans="2:26" ht="14.25" customHeight="1" x14ac:dyDescent="0.2">
      <c r="X26" s="9" t="s">
        <v>74</v>
      </c>
      <c r="Y26" s="9" t="s">
        <v>211</v>
      </c>
      <c r="Z26" s="9" t="s">
        <v>214</v>
      </c>
    </row>
    <row r="27" spans="2:26" ht="14.25" customHeight="1" x14ac:dyDescent="0.2">
      <c r="X27" s="9" t="s">
        <v>75</v>
      </c>
      <c r="Y27" s="9" t="s">
        <v>211</v>
      </c>
      <c r="Z27" s="9" t="s">
        <v>214</v>
      </c>
    </row>
    <row r="28" spans="2:26" ht="14.25" customHeight="1" x14ac:dyDescent="0.2">
      <c r="X28" s="9" t="s">
        <v>76</v>
      </c>
      <c r="Y28" s="9" t="s">
        <v>211</v>
      </c>
      <c r="Z28" s="9" t="s">
        <v>214</v>
      </c>
    </row>
    <row r="29" spans="2:26" ht="14.25" customHeight="1" x14ac:dyDescent="0.2">
      <c r="X29" s="9" t="s">
        <v>77</v>
      </c>
      <c r="Y29" s="9" t="s">
        <v>218</v>
      </c>
      <c r="Z29" s="9" t="s">
        <v>219</v>
      </c>
    </row>
    <row r="30" spans="2:26" ht="14.25" customHeight="1" x14ac:dyDescent="0.2">
      <c r="X30" s="9" t="s">
        <v>78</v>
      </c>
      <c r="Y30" s="9" t="s">
        <v>220</v>
      </c>
      <c r="Z30" s="9" t="s">
        <v>225</v>
      </c>
    </row>
    <row r="31" spans="2:26" ht="14.25" customHeight="1" x14ac:dyDescent="0.2">
      <c r="X31" s="9" t="s">
        <v>9</v>
      </c>
      <c r="Y31" s="9" t="s">
        <v>59</v>
      </c>
      <c r="Z31" s="9" t="s">
        <v>210</v>
      </c>
    </row>
    <row r="32" spans="2:26" ht="14.25" customHeight="1" x14ac:dyDescent="0.2">
      <c r="X32" s="9" t="s">
        <v>79</v>
      </c>
      <c r="Y32" s="9" t="s">
        <v>221</v>
      </c>
      <c r="Z32" s="9" t="s">
        <v>222</v>
      </c>
    </row>
    <row r="33" spans="24:26" ht="14.25" customHeight="1" x14ac:dyDescent="0.2">
      <c r="X33" s="9" t="s">
        <v>80</v>
      </c>
      <c r="Y33" s="9" t="s">
        <v>220</v>
      </c>
      <c r="Z33" s="9" t="s">
        <v>226</v>
      </c>
    </row>
    <row r="34" spans="24:26" ht="14.25" customHeight="1" x14ac:dyDescent="0.2">
      <c r="X34" s="9" t="s">
        <v>81</v>
      </c>
      <c r="Y34" s="9" t="s">
        <v>223</v>
      </c>
      <c r="Z34" s="9" t="s">
        <v>224</v>
      </c>
    </row>
    <row r="35" spans="24:26" ht="14.25" customHeight="1" x14ac:dyDescent="0.2">
      <c r="X35" s="9" t="s">
        <v>82</v>
      </c>
      <c r="Y35" s="9" t="s">
        <v>223</v>
      </c>
      <c r="Z35" s="9" t="s">
        <v>224</v>
      </c>
    </row>
    <row r="36" spans="24:26" ht="14.25" customHeight="1" x14ac:dyDescent="0.2">
      <c r="X36" s="9" t="s">
        <v>83</v>
      </c>
      <c r="Y36" s="9" t="s">
        <v>223</v>
      </c>
      <c r="Z36" s="9" t="s">
        <v>224</v>
      </c>
    </row>
    <row r="37" spans="24:26" ht="14.25" customHeight="1" x14ac:dyDescent="0.2">
      <c r="X37" s="9" t="s">
        <v>56</v>
      </c>
      <c r="Y37" s="9" t="s">
        <v>227</v>
      </c>
      <c r="Z37" s="9" t="s">
        <v>210</v>
      </c>
    </row>
    <row r="38" spans="24:26" ht="14.25" customHeight="1" x14ac:dyDescent="0.2">
      <c r="X38" s="9" t="s">
        <v>90</v>
      </c>
      <c r="Y38" s="9" t="s">
        <v>211</v>
      </c>
      <c r="Z38" s="9" t="s">
        <v>214</v>
      </c>
    </row>
    <row r="39" spans="24:26" ht="14.25" customHeight="1" x14ac:dyDescent="0.2">
      <c r="X39" s="9" t="s">
        <v>14</v>
      </c>
      <c r="Y39" s="9" t="s">
        <v>212</v>
      </c>
      <c r="Z39" s="9" t="s">
        <v>213</v>
      </c>
    </row>
    <row r="40" spans="24:26" ht="14.25" customHeight="1" x14ac:dyDescent="0.2">
      <c r="X40" s="9" t="s">
        <v>15</v>
      </c>
      <c r="Y40" s="9" t="s">
        <v>221</v>
      </c>
      <c r="Z40" s="9" t="s">
        <v>230</v>
      </c>
    </row>
    <row r="41" spans="24:26" ht="14.25" customHeight="1" x14ac:dyDescent="0.2">
      <c r="X41" s="9" t="s">
        <v>18</v>
      </c>
      <c r="Y41" s="9" t="s">
        <v>211</v>
      </c>
      <c r="Z41" s="9" t="s">
        <v>214</v>
      </c>
    </row>
    <row r="42" spans="24:26" ht="14.25" customHeight="1" x14ac:dyDescent="0.2">
      <c r="X42" s="9" t="s">
        <v>20</v>
      </c>
      <c r="Y42" s="9" t="s">
        <v>221</v>
      </c>
      <c r="Z42" s="9" t="s">
        <v>228</v>
      </c>
    </row>
    <row r="43" spans="24:26" ht="14.25" customHeight="1" x14ac:dyDescent="0.2">
      <c r="X43" s="9" t="s">
        <v>21</v>
      </c>
      <c r="Y43" s="9" t="s">
        <v>211</v>
      </c>
      <c r="Z43" s="9" t="s">
        <v>229</v>
      </c>
    </row>
    <row r="44" spans="24:26" ht="14.25" customHeight="1" x14ac:dyDescent="0.2">
      <c r="X44" s="9" t="s">
        <v>22</v>
      </c>
      <c r="Y44" s="9" t="s">
        <v>211</v>
      </c>
      <c r="Z44" s="9" t="s">
        <v>231</v>
      </c>
    </row>
    <row r="45" spans="24:26" ht="14.25" customHeight="1" x14ac:dyDescent="0.2">
      <c r="X45" s="9" t="s">
        <v>91</v>
      </c>
      <c r="Y45" s="9" t="s">
        <v>221</v>
      </c>
      <c r="Z45" s="9" t="s">
        <v>232</v>
      </c>
    </row>
    <row r="46" spans="24:26" ht="14.25" customHeight="1" x14ac:dyDescent="0.2">
      <c r="X46" s="9" t="s">
        <v>23</v>
      </c>
      <c r="Y46" s="9" t="s">
        <v>218</v>
      </c>
      <c r="Z46" s="9" t="s">
        <v>224</v>
      </c>
    </row>
    <row r="47" spans="24:26" ht="14.25" customHeight="1" x14ac:dyDescent="0.2">
      <c r="X47" s="9" t="s">
        <v>24</v>
      </c>
      <c r="Y47" s="9" t="s">
        <v>211</v>
      </c>
      <c r="Z47" s="9" t="s">
        <v>214</v>
      </c>
    </row>
    <row r="48" spans="24:26" ht="14.25" customHeight="1" x14ac:dyDescent="0.2">
      <c r="X48" s="9" t="s">
        <v>26</v>
      </c>
      <c r="Y48" s="9" t="s">
        <v>211</v>
      </c>
      <c r="Z48" s="9" t="s">
        <v>214</v>
      </c>
    </row>
    <row r="49" spans="24:26" ht="14.25" customHeight="1" x14ac:dyDescent="0.2">
      <c r="X49" s="9" t="s">
        <v>27</v>
      </c>
      <c r="Y49" s="9" t="s">
        <v>211</v>
      </c>
      <c r="Z49" s="9" t="s">
        <v>214</v>
      </c>
    </row>
    <row r="50" spans="24:26" ht="14.25" customHeight="1" x14ac:dyDescent="0.2">
      <c r="X50" s="9" t="s">
        <v>28</v>
      </c>
      <c r="Y50" s="9" t="s">
        <v>218</v>
      </c>
      <c r="Z50" s="9" t="s">
        <v>233</v>
      </c>
    </row>
  </sheetData>
  <mergeCells count="1">
    <mergeCell ref="C1:L1"/>
  </mergeCells>
  <phoneticPr fontId="8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6"/>
  <sheetViews>
    <sheetView workbookViewId="0">
      <selection activeCell="C1" sqref="C1:G1"/>
    </sheetView>
  </sheetViews>
  <sheetFormatPr defaultColWidth="9.140625" defaultRowHeight="12" x14ac:dyDescent="0.2"/>
  <cols>
    <col min="1" max="1" width="4.5703125" style="2" customWidth="1"/>
    <col min="2" max="2" width="26.140625" style="2" bestFit="1" customWidth="1"/>
    <col min="3" max="3" width="27.42578125" style="2" bestFit="1" customWidth="1"/>
    <col min="4" max="4" width="18.140625" style="2" customWidth="1"/>
    <col min="5" max="5" width="24.85546875" style="2" customWidth="1"/>
    <col min="6" max="6" width="18.5703125" style="2" customWidth="1"/>
    <col min="7" max="7" width="13.7109375" style="2" customWidth="1"/>
    <col min="8" max="8" width="11" style="2" bestFit="1" customWidth="1"/>
    <col min="9" max="9" width="21.7109375" style="2" bestFit="1" customWidth="1"/>
    <col min="10" max="16384" width="9.140625" style="2"/>
  </cols>
  <sheetData>
    <row r="1" spans="2:10" ht="15.75" x14ac:dyDescent="0.2">
      <c r="B1" s="7" t="s">
        <v>55</v>
      </c>
      <c r="C1" s="89" t="s">
        <v>248</v>
      </c>
      <c r="D1" s="89"/>
      <c r="E1" s="89"/>
      <c r="F1" s="89"/>
      <c r="G1" s="89"/>
    </row>
    <row r="3" spans="2:10" x14ac:dyDescent="0.2">
      <c r="B3" s="41" t="s">
        <v>96</v>
      </c>
      <c r="C3" s="42" t="s">
        <v>84</v>
      </c>
      <c r="D3" s="42" t="s">
        <v>30</v>
      </c>
      <c r="E3" s="42" t="s">
        <v>85</v>
      </c>
      <c r="F3" s="43" t="s">
        <v>202</v>
      </c>
      <c r="G3" s="43" t="s">
        <v>203</v>
      </c>
      <c r="H3" s="43" t="s">
        <v>204</v>
      </c>
      <c r="I3" s="44" t="s">
        <v>205</v>
      </c>
      <c r="J3" s="6"/>
    </row>
    <row r="4" spans="2:10" x14ac:dyDescent="0.2">
      <c r="B4" s="31" t="s">
        <v>97</v>
      </c>
      <c r="C4" s="32" t="str">
        <f>VLOOKUP(Database!$B4,'1.1 FY2016'!$B:G,2,0)</f>
        <v>Core business revenues</v>
      </c>
      <c r="D4" s="33">
        <f>VLOOKUP(Database!$B4,'1.1 FY2016'!$B:H,3,0)</f>
        <v>111111</v>
      </c>
      <c r="E4" s="32" t="str">
        <f>VLOOKUP(Database!$B4,'1.1 FY2016'!$B:I,4,0)</f>
        <v>External</v>
      </c>
      <c r="F4" s="34">
        <f>-SUMIF('1.1 FY2016'!$B:$B,Database!$B4,'1.1 FY2016'!$F:$F)</f>
        <v>14500341</v>
      </c>
      <c r="G4" s="34">
        <f>-SUMIF('1.2 FY2017'!$B:$B,Database!$B4,'1.2 FY2017'!$F:$F)</f>
        <v>15792898.75</v>
      </c>
      <c r="H4" s="34">
        <f>-SUMIF('1.3 FY2018'!$B:$B,Database!$B4,'1.3 FY2018'!$F:$F)</f>
        <v>14431341</v>
      </c>
      <c r="I4" s="35" t="str">
        <f>VLOOKUP($C4,'P&amp;L statement'!X:Y,2,0)</f>
        <v>Net Sales</v>
      </c>
    </row>
    <row r="5" spans="2:10" x14ac:dyDescent="0.2">
      <c r="B5" s="31" t="s">
        <v>98</v>
      </c>
      <c r="C5" s="32" t="str">
        <f>VLOOKUP(Database!$B5,'1.1 FY2016'!$B:G,2,0)</f>
        <v>Other revenues</v>
      </c>
      <c r="D5" s="33">
        <f>VLOOKUP(Database!$B5,'1.1 FY2016'!$B:H,3,0)</f>
        <v>111111</v>
      </c>
      <c r="E5" s="32" t="str">
        <f>VLOOKUP(Database!$B5,'1.1 FY2016'!$B:I,4,0)</f>
        <v>External</v>
      </c>
      <c r="F5" s="34">
        <f>-SUMIF('1.1 FY2016'!$B:$B,Database!$B5,'1.1 FY2016'!$F:$F)</f>
        <v>4794856.1919999998</v>
      </c>
      <c r="G5" s="34">
        <f>-SUMIF('1.2 FY2017'!$B:$B,Database!$B5,'1.2 FY2017'!$F:$F)</f>
        <v>6960217.6449999996</v>
      </c>
      <c r="H5" s="34">
        <f>-SUMIF('1.3 FY2018'!$B:$B,Database!$B5,'1.3 FY2018'!$F:$F)</f>
        <v>6373617.5140000004</v>
      </c>
      <c r="I5" s="35" t="str">
        <f>VLOOKUP($C5,'P&amp;L statement'!X:Y,2,0)</f>
        <v>Other revenues</v>
      </c>
    </row>
    <row r="6" spans="2:10" x14ac:dyDescent="0.2">
      <c r="B6" s="31" t="s">
        <v>99</v>
      </c>
      <c r="C6" s="32" t="str">
        <f>VLOOKUP(Database!$B6,'1.1 FY2016'!$B:G,2,0)</f>
        <v>Capitalized costs</v>
      </c>
      <c r="D6" s="33">
        <f>VLOOKUP(Database!$B6,'1.1 FY2016'!$B:H,3,0)</f>
        <v>1009</v>
      </c>
      <c r="E6" s="32" t="str">
        <f>VLOOKUP(Database!$B6,'1.1 FY2016'!$B:I,4,0)</f>
        <v>Green Ventures Ltd</v>
      </c>
      <c r="F6" s="34">
        <f>-SUMIF('1.1 FY2016'!$B:$B,Database!$B6,'1.1 FY2016'!$F:$F)</f>
        <v>154890.4</v>
      </c>
      <c r="G6" s="34">
        <f>-SUMIF('1.2 FY2017'!$B:$B,Database!$B6,'1.2 FY2017'!$F:$F)</f>
        <v>0</v>
      </c>
      <c r="H6" s="34">
        <f>-SUMIF('1.3 FY2018'!$B:$B,Database!$B6,'1.3 FY2018'!$F:$F)</f>
        <v>0</v>
      </c>
      <c r="I6" s="35" t="str">
        <f>VLOOKUP($C6,'P&amp;L statement'!X:Y,2,0)</f>
        <v>Capitalized costs</v>
      </c>
    </row>
    <row r="7" spans="2:10" x14ac:dyDescent="0.2">
      <c r="B7" s="31" t="s">
        <v>100</v>
      </c>
      <c r="C7" s="32" t="str">
        <f>VLOOKUP(Database!$B7,'1.1 FY2016'!$B:G,2,0)</f>
        <v>Capitalized costs</v>
      </c>
      <c r="D7" s="33">
        <f>VLOOKUP(Database!$B7,'1.1 FY2016'!$B:H,3,0)</f>
        <v>1007</v>
      </c>
      <c r="E7" s="32" t="str">
        <f>VLOOKUP(Database!$B7,'1.1 FY2016'!$B:I,4,0)</f>
        <v>Generco Sunshine JSC</v>
      </c>
      <c r="F7" s="34">
        <f>-SUMIF('1.1 FY2016'!$B:$B,Database!$B7,'1.1 FY2016'!$F:$F)</f>
        <v>1180894.0520000001</v>
      </c>
      <c r="G7" s="34">
        <f>-SUMIF('1.2 FY2017'!$B:$B,Database!$B7,'1.2 FY2017'!$F:$F)</f>
        <v>89234.880000000005</v>
      </c>
      <c r="H7" s="34">
        <f>-SUMIF('1.3 FY2018'!$B:$B,Database!$B7,'1.3 FY2018'!$F:$F)</f>
        <v>0</v>
      </c>
      <c r="I7" s="35" t="str">
        <f>VLOOKUP($C7,'P&amp;L statement'!X:Y,2,0)</f>
        <v>Capitalized costs</v>
      </c>
    </row>
    <row r="8" spans="2:10" x14ac:dyDescent="0.2">
      <c r="B8" s="31" t="s">
        <v>101</v>
      </c>
      <c r="C8" s="32" t="str">
        <f>VLOOKUP(Database!$B8,'1.1 FY2016'!$B:G,2,0)</f>
        <v>Capitalized costs</v>
      </c>
      <c r="D8" s="33">
        <f>VLOOKUP(Database!$B8,'1.1 FY2016'!$B:H,3,0)</f>
        <v>1008</v>
      </c>
      <c r="E8" s="32" t="str">
        <f>VLOOKUP(Database!$B8,'1.1 FY2016'!$B:I,4,0)</f>
        <v>Greenco Ltd</v>
      </c>
      <c r="F8" s="34">
        <f>-SUMIF('1.1 FY2016'!$B:$B,Database!$B8,'1.1 FY2016'!$F:$F)</f>
        <v>793079.51199999999</v>
      </c>
      <c r="G8" s="34">
        <f>-SUMIF('1.2 FY2017'!$B:$B,Database!$B8,'1.2 FY2017'!$F:$F)</f>
        <v>26173</v>
      </c>
      <c r="H8" s="34">
        <f>-SUMIF('1.3 FY2018'!$B:$B,Database!$B8,'1.3 FY2018'!$F:$F)</f>
        <v>0</v>
      </c>
      <c r="I8" s="35" t="str">
        <f>VLOOKUP($C8,'P&amp;L statement'!X:Y,2,0)</f>
        <v>Capitalized costs</v>
      </c>
    </row>
    <row r="9" spans="2:10" x14ac:dyDescent="0.2">
      <c r="B9" s="31" t="s">
        <v>102</v>
      </c>
      <c r="C9" s="32" t="str">
        <f>VLOOKUP(Database!$B9,'1.1 FY2016'!$B:G,2,0)</f>
        <v>Capitalized costs</v>
      </c>
      <c r="D9" s="33">
        <f>VLOOKUP(Database!$B9,'1.1 FY2016'!$B:H,3,0)</f>
        <v>111101</v>
      </c>
      <c r="E9" s="32" t="str">
        <f>VLOOKUP(Database!$B9,'1.1 FY2016'!$B:I,4,0)</f>
        <v>Not assigned</v>
      </c>
      <c r="F9" s="34">
        <f>-SUMIF('1.1 FY2016'!$B:$B,Database!$B9,'1.1 FY2016'!$F:$F)</f>
        <v>2277197.6</v>
      </c>
      <c r="G9" s="34">
        <f>-SUMIF('1.2 FY2017'!$B:$B,Database!$B9,'1.2 FY2017'!$F:$F)</f>
        <v>209401.92</v>
      </c>
      <c r="H9" s="34">
        <f>-SUMIF('1.3 FY2018'!$B:$B,Database!$B9,'1.3 FY2018'!$F:$F)</f>
        <v>0</v>
      </c>
      <c r="I9" s="35" t="str">
        <f>VLOOKUP($C9,'P&amp;L statement'!X:Y,2,0)</f>
        <v>Capitalized costs</v>
      </c>
    </row>
    <row r="10" spans="2:10" x14ac:dyDescent="0.2">
      <c r="B10" s="31" t="s">
        <v>103</v>
      </c>
      <c r="C10" s="32" t="str">
        <f>VLOOKUP(Database!$B10,'1.1 FY2016'!$B:G,2,0)</f>
        <v>Direct costs</v>
      </c>
      <c r="D10" s="33">
        <f>VLOOKUP(Database!$B10,'1.1 FY2016'!$B:H,3,0)</f>
        <v>111111</v>
      </c>
      <c r="E10" s="32" t="str">
        <f>VLOOKUP(Database!$B10,'1.1 FY2016'!$B:I,4,0)</f>
        <v>External</v>
      </c>
      <c r="F10" s="34">
        <f>-SUMIF('1.1 FY2016'!$B:$B,Database!$B10,'1.1 FY2016'!$F:$F)</f>
        <v>-4428911.7640000004</v>
      </c>
      <c r="G10" s="34">
        <f>-SUMIF('1.2 FY2017'!$B:$B,Database!$B10,'1.2 FY2017'!$F:$F)</f>
        <v>-5463188.8250000002</v>
      </c>
      <c r="H10" s="34">
        <f>-SUMIF('1.3 FY2018'!$B:$B,Database!$B10,'1.3 FY2018'!$F:$F)</f>
        <v>-5674152.0669999998</v>
      </c>
      <c r="I10" s="35" t="str">
        <f>VLOOKUP($C10,'P&amp;L statement'!X:Y,2,0)</f>
        <v>Direct costs</v>
      </c>
    </row>
    <row r="11" spans="2:10" x14ac:dyDescent="0.2">
      <c r="B11" s="31" t="s">
        <v>104</v>
      </c>
      <c r="C11" s="32" t="str">
        <f>VLOOKUP(Database!$B11,'1.1 FY2016'!$B:G,2,0)</f>
        <v>Freight outbound expenses</v>
      </c>
      <c r="D11" s="33">
        <f>VLOOKUP(Database!$B11,'1.1 FY2016'!$B:H,3,0)</f>
        <v>111111</v>
      </c>
      <c r="E11" s="32" t="str">
        <f>VLOOKUP(Database!$B11,'1.1 FY2016'!$B:I,4,0)</f>
        <v>External</v>
      </c>
      <c r="F11" s="34">
        <f>-SUMIF('1.1 FY2016'!$B:$B,Database!$B11,'1.1 FY2016'!$F:$F)</f>
        <v>-16977.628000000001</v>
      </c>
      <c r="G11" s="34">
        <f>-SUMIF('1.2 FY2017'!$B:$B,Database!$B11,'1.2 FY2017'!$F:$F)</f>
        <v>-343675</v>
      </c>
      <c r="H11" s="34">
        <f>-SUMIF('1.3 FY2018'!$B:$B,Database!$B11,'1.3 FY2018'!$F:$F)</f>
        <v>-350370.99399999995</v>
      </c>
      <c r="I11" s="35" t="str">
        <f>VLOOKUP($C11,'P&amp;L statement'!X:Y,2,0)</f>
        <v>Other operating expenses</v>
      </c>
    </row>
    <row r="12" spans="2:10" x14ac:dyDescent="0.2">
      <c r="B12" s="31" t="s">
        <v>105</v>
      </c>
      <c r="C12" s="32" t="str">
        <f>VLOOKUP(Database!$B12,'1.1 FY2016'!$B:G,2,0)</f>
        <v>R&amp;D expenses</v>
      </c>
      <c r="D12" s="33">
        <f>VLOOKUP(Database!$B12,'1.1 FY2016'!$B:H,3,0)</f>
        <v>88</v>
      </c>
      <c r="E12" s="32" t="str">
        <f>VLOOKUP(Database!$B12,'1.1 FY2016'!$B:I,4,0)</f>
        <v>Generco Ltd</v>
      </c>
      <c r="F12" s="34">
        <f>-SUMIF('1.1 FY2016'!$B:$B,Database!$B12,'1.1 FY2016'!$F:$F)</f>
        <v>-2245437.54</v>
      </c>
      <c r="G12" s="34">
        <f>-SUMIF('1.2 FY2017'!$B:$B,Database!$B12,'1.2 FY2017'!$F:$F)</f>
        <v>-1980162.23</v>
      </c>
      <c r="H12" s="34">
        <f>-SUMIF('1.3 FY2018'!$B:$B,Database!$B12,'1.3 FY2018'!$F:$F)</f>
        <v>-3116017.1540000001</v>
      </c>
      <c r="I12" s="35" t="str">
        <f>VLOOKUP($C12,'P&amp;L statement'!X:Y,2,0)</f>
        <v>Other operating expenses</v>
      </c>
    </row>
    <row r="13" spans="2:10" x14ac:dyDescent="0.2">
      <c r="B13" s="31" t="s">
        <v>106</v>
      </c>
      <c r="C13" s="32" t="str">
        <f>VLOOKUP(Database!$B13,'1.1 FY2016'!$B:G,2,0)</f>
        <v>R&amp;D expenses</v>
      </c>
      <c r="D13" s="33">
        <f>VLOOKUP(Database!$B13,'1.1 FY2016'!$B:H,3,0)</f>
        <v>111111</v>
      </c>
      <c r="E13" s="32" t="str">
        <f>VLOOKUP(Database!$B13,'1.1 FY2016'!$B:I,4,0)</f>
        <v>External</v>
      </c>
      <c r="F13" s="34">
        <f>-SUMIF('1.1 FY2016'!$B:$B,Database!$B13,'1.1 FY2016'!$F:$F)</f>
        <v>-16605.634000000002</v>
      </c>
      <c r="G13" s="34">
        <f>-SUMIF('1.2 FY2017'!$B:$B,Database!$B13,'1.2 FY2017'!$F:$F)</f>
        <v>-27148.625</v>
      </c>
      <c r="H13" s="34">
        <f>-SUMIF('1.3 FY2018'!$B:$B,Database!$B13,'1.3 FY2018'!$F:$F)</f>
        <v>-9783.7069999999985</v>
      </c>
      <c r="I13" s="35" t="str">
        <f>VLOOKUP($C13,'P&amp;L statement'!X:Y,2,0)</f>
        <v>Other operating expenses</v>
      </c>
    </row>
    <row r="14" spans="2:10" x14ac:dyDescent="0.2">
      <c r="B14" s="31" t="s">
        <v>107</v>
      </c>
      <c r="C14" s="32" t="str">
        <f>VLOOKUP(Database!$B14,'1.1 FY2016'!$B:G,2,0)</f>
        <v>Wages and salaries</v>
      </c>
      <c r="D14" s="33">
        <f>VLOOKUP(Database!$B14,'1.1 FY2016'!$B:H,3,0)</f>
        <v>111111</v>
      </c>
      <c r="E14" s="32" t="str">
        <f>VLOOKUP(Database!$B14,'1.1 FY2016'!$B:I,4,0)</f>
        <v>External</v>
      </c>
      <c r="F14" s="34">
        <f>-SUMIF('1.1 FY2016'!$B:$B,Database!$B14,'1.1 FY2016'!$F:$F)</f>
        <v>-4683394.0460000001</v>
      </c>
      <c r="G14" s="34">
        <f>-SUMIF('1.2 FY2017'!$B:$B,Database!$B14,'1.2 FY2017'!$F:$F)</f>
        <v>-5507141.0549999997</v>
      </c>
      <c r="H14" s="34">
        <f>-SUMIF('1.3 FY2018'!$B:$B,Database!$B14,'1.3 FY2018'!$F:$F)</f>
        <v>-3982699.5329999998</v>
      </c>
      <c r="I14" s="35" t="str">
        <f>VLOOKUP($C14,'P&amp;L statement'!X:Y,2,0)</f>
        <v>Personnel expenses</v>
      </c>
    </row>
    <row r="15" spans="2:10" x14ac:dyDescent="0.2">
      <c r="B15" s="31" t="s">
        <v>108</v>
      </c>
      <c r="C15" s="32" t="str">
        <f>VLOOKUP(Database!$B15,'1.1 FY2016'!$B:G,2,0)</f>
        <v>Pension contributions</v>
      </c>
      <c r="D15" s="33">
        <f>VLOOKUP(Database!$B15,'1.1 FY2016'!$B:H,3,0)</f>
        <v>111101</v>
      </c>
      <c r="E15" s="32" t="str">
        <f>VLOOKUP(Database!$B15,'1.1 FY2016'!$B:I,4,0)</f>
        <v>Not assigned</v>
      </c>
      <c r="F15" s="34">
        <f>-SUMIF('1.1 FY2016'!$B:$B,Database!$B15,'1.1 FY2016'!$F:$F)</f>
        <v>-1143051.5760000001</v>
      </c>
      <c r="G15" s="34">
        <f>-SUMIF('1.2 FY2017'!$B:$B,Database!$B15,'1.2 FY2017'!$F:$F)</f>
        <v>-2057298.04</v>
      </c>
      <c r="H15" s="34">
        <f>-SUMIF('1.3 FY2018'!$B:$B,Database!$B15,'1.3 FY2018'!$F:$F)</f>
        <v>-1709688.6429999997</v>
      </c>
      <c r="I15" s="35" t="str">
        <f>VLOOKUP($C15,'P&amp;L statement'!X:Y,2,0)</f>
        <v>Personnel expenses</v>
      </c>
    </row>
    <row r="16" spans="2:10" x14ac:dyDescent="0.2">
      <c r="B16" s="31" t="s">
        <v>109</v>
      </c>
      <c r="C16" s="32" t="str">
        <f>VLOOKUP(Database!$B16,'1.1 FY2016'!$B:G,2,0)</f>
        <v>Pension contributions</v>
      </c>
      <c r="D16" s="33">
        <f>VLOOKUP(Database!$B16,'1.1 FY2016'!$B:H,3,0)</f>
        <v>88</v>
      </c>
      <c r="E16" s="32" t="str">
        <f>VLOOKUP(Database!$B16,'1.1 FY2016'!$B:I,4,0)</f>
        <v>Generco Ltd</v>
      </c>
      <c r="F16" s="34">
        <f>-SUMIF('1.1 FY2016'!$B:$B,Database!$B16,'1.1 FY2016'!$F:$F)</f>
        <v>-239379.61800000002</v>
      </c>
      <c r="G16" s="34">
        <f>-SUMIF('1.2 FY2017'!$B:$B,Database!$B16,'1.2 FY2017'!$F:$F)</f>
        <v>0</v>
      </c>
      <c r="H16" s="34">
        <f>-SUMIF('1.3 FY2018'!$B:$B,Database!$B16,'1.3 FY2018'!$F:$F)</f>
        <v>0</v>
      </c>
      <c r="I16" s="35" t="str">
        <f>VLOOKUP($C16,'P&amp;L statement'!X:Y,2,0)</f>
        <v>Personnel expenses</v>
      </c>
    </row>
    <row r="17" spans="2:9" x14ac:dyDescent="0.2">
      <c r="B17" s="31" t="s">
        <v>110</v>
      </c>
      <c r="C17" s="32" t="str">
        <f>VLOOKUP(Database!$B17,'1.1 FY2016'!$B:G,2,0)</f>
        <v>Severance indemnity contribution</v>
      </c>
      <c r="D17" s="33">
        <f>VLOOKUP(Database!$B17,'1.1 FY2016'!$B:H,3,0)</f>
        <v>111101</v>
      </c>
      <c r="E17" s="32" t="str">
        <f>VLOOKUP(Database!$B17,'1.1 FY2016'!$B:I,4,0)</f>
        <v>Not assigned</v>
      </c>
      <c r="F17" s="34">
        <f>-SUMIF('1.1 FY2016'!$B:$B,Database!$B17,'1.1 FY2016'!$F:$F)</f>
        <v>-104913.8</v>
      </c>
      <c r="G17" s="34">
        <f>-SUMIF('1.2 FY2017'!$B:$B,Database!$B17,'1.2 FY2017'!$F:$F)</f>
        <v>-500500</v>
      </c>
      <c r="H17" s="34">
        <f>-SUMIF('1.3 FY2018'!$B:$B,Database!$B17,'1.3 FY2018'!$F:$F)</f>
        <v>-143500</v>
      </c>
      <c r="I17" s="35" t="str">
        <f>VLOOKUP($C17,'P&amp;L statement'!X:Y,2,0)</f>
        <v>Personnel expenses</v>
      </c>
    </row>
    <row r="18" spans="2:9" x14ac:dyDescent="0.2">
      <c r="B18" s="31" t="s">
        <v>111</v>
      </c>
      <c r="C18" s="32" t="str">
        <f>VLOOKUP(Database!$B18,'1.1 FY2016'!$B:G,2,0)</f>
        <v>D&amp;A</v>
      </c>
      <c r="D18" s="33">
        <f>VLOOKUP(Database!$B18,'1.1 FY2016'!$B:H,3,0)</f>
        <v>111101</v>
      </c>
      <c r="E18" s="32" t="str">
        <f>VLOOKUP(Database!$B18,'1.1 FY2016'!$B:I,4,0)</f>
        <v>Not assigned</v>
      </c>
      <c r="F18" s="34">
        <f>-SUMIF('1.1 FY2016'!$B:$B,Database!$B18,'1.1 FY2016'!$F:$F)</f>
        <v>-2003262.2180000001</v>
      </c>
      <c r="G18" s="34">
        <f>-SUMIF('1.2 FY2017'!$B:$B,Database!$B18,'1.2 FY2017'!$F:$F)</f>
        <v>-1897676.87</v>
      </c>
      <c r="H18" s="34">
        <f>-SUMIF('1.3 FY2018'!$B:$B,Database!$B18,'1.3 FY2018'!$F:$F)</f>
        <v>-1875768.159</v>
      </c>
      <c r="I18" s="35" t="str">
        <f>VLOOKUP($C18,'P&amp;L statement'!X:Y,2,0)</f>
        <v>D&amp;A</v>
      </c>
    </row>
    <row r="19" spans="2:9" x14ac:dyDescent="0.2">
      <c r="B19" s="31" t="s">
        <v>112</v>
      </c>
      <c r="C19" s="32" t="str">
        <f>VLOOKUP(Database!$B19,'1.1 FY2016'!$B:G,2,0)</f>
        <v>D&amp;A</v>
      </c>
      <c r="D19" s="33">
        <f>VLOOKUP(Database!$B19,'1.1 FY2016'!$B:H,3,0)</f>
        <v>1</v>
      </c>
      <c r="E19" s="32" t="str">
        <f>VLOOKUP(Database!$B19,'1.1 FY2016'!$B:I,4,0)</f>
        <v>Not assigned</v>
      </c>
      <c r="F19" s="34">
        <f>-SUMIF('1.1 FY2016'!$B:$B,Database!$B19,'1.1 FY2016'!$F:$F)</f>
        <v>-41981.296000000002</v>
      </c>
      <c r="G19" s="34">
        <f>-SUMIF('1.2 FY2017'!$B:$B,Database!$B19,'1.2 FY2017'!$F:$F)</f>
        <v>0</v>
      </c>
      <c r="H19" s="34">
        <f>-SUMIF('1.3 FY2018'!$B:$B,Database!$B19,'1.3 FY2018'!$F:$F)</f>
        <v>0</v>
      </c>
      <c r="I19" s="35" t="str">
        <f>VLOOKUP($C19,'P&amp;L statement'!X:Y,2,0)</f>
        <v>D&amp;A</v>
      </c>
    </row>
    <row r="20" spans="2:9" x14ac:dyDescent="0.2">
      <c r="B20" s="31" t="s">
        <v>113</v>
      </c>
      <c r="C20" s="32" t="str">
        <f>VLOOKUP(Database!$B20,'1.1 FY2016'!$B:G,2,0)</f>
        <v>Corporate recharges</v>
      </c>
      <c r="D20" s="33" t="str">
        <f>VLOOKUP(Database!$B20,'1.1 FY2016'!$B:H,3,0)</f>
        <v>1</v>
      </c>
      <c r="E20" s="32" t="str">
        <f>VLOOKUP(Database!$B20,'1.1 FY2016'!$B:I,4,0)</f>
        <v>Greeny Ltd</v>
      </c>
      <c r="F20" s="34">
        <f>-SUMIF('1.1 FY2016'!$B:$B,Database!$B20,'1.1 FY2016'!$F:$F)</f>
        <v>2156147.4</v>
      </c>
      <c r="G20" s="34">
        <f>-SUMIF('1.2 FY2017'!$B:$B,Database!$B20,'1.2 FY2017'!$F:$F)</f>
        <v>1643711.145</v>
      </c>
      <c r="H20" s="34">
        <f>-SUMIF('1.3 FY2018'!$B:$B,Database!$B20,'1.3 FY2018'!$F:$F)</f>
        <v>1418521.358</v>
      </c>
      <c r="I20" s="35" t="str">
        <f>VLOOKUP($C20,'P&amp;L statement'!X:Y,2,0)</f>
        <v>Recharges</v>
      </c>
    </row>
    <row r="21" spans="2:9" x14ac:dyDescent="0.2">
      <c r="B21" s="31" t="s">
        <v>114</v>
      </c>
      <c r="C21" s="32" t="str">
        <f>VLOOKUP(Database!$B21,'1.1 FY2016'!$B:G,2,0)</f>
        <v>Corporate recharges</v>
      </c>
      <c r="D21" s="33">
        <f>VLOOKUP(Database!$B21,'1.1 FY2016'!$B:H,3,0)</f>
        <v>14</v>
      </c>
      <c r="E21" s="32" t="str">
        <f>VLOOKUP(Database!$B21,'1.1 FY2016'!$B:I,4,0)</f>
        <v>Generco Cosmetics Ltd</v>
      </c>
      <c r="F21" s="34">
        <f>-SUMIF('1.1 FY2016'!$B:$B,Database!$B21,'1.1 FY2016'!$F:$F)</f>
        <v>291428.55199999997</v>
      </c>
      <c r="G21" s="34">
        <f>-SUMIF('1.2 FY2017'!$B:$B,Database!$B21,'1.2 FY2017'!$F:$F)</f>
        <v>0</v>
      </c>
      <c r="H21" s="34">
        <f>-SUMIF('1.3 FY2018'!$B:$B,Database!$B21,'1.3 FY2018'!$F:$F)</f>
        <v>0</v>
      </c>
      <c r="I21" s="35" t="str">
        <f>VLOOKUP($C21,'P&amp;L statement'!X:Y,2,0)</f>
        <v>Recharges</v>
      </c>
    </row>
    <row r="22" spans="2:9" x14ac:dyDescent="0.2">
      <c r="B22" s="31" t="s">
        <v>115</v>
      </c>
      <c r="C22" s="32" t="str">
        <f>VLOOKUP(Database!$B22,'1.1 FY2016'!$B:G,2,0)</f>
        <v>Corporate recharges</v>
      </c>
      <c r="D22" s="33">
        <f>VLOOKUP(Database!$B22,'1.1 FY2016'!$B:H,3,0)</f>
        <v>1037</v>
      </c>
      <c r="E22" s="32" t="str">
        <f>VLOOKUP(Database!$B22,'1.1 FY2016'!$B:I,4,0)</f>
        <v>Generco Canada JSC</v>
      </c>
      <c r="F22" s="34">
        <f>-SUMIF('1.1 FY2016'!$B:$B,Database!$B22,'1.1 FY2016'!$F:$F)</f>
        <v>0</v>
      </c>
      <c r="G22" s="34">
        <f>-SUMIF('1.2 FY2017'!$B:$B,Database!$B22,'1.2 FY2017'!$F:$F)</f>
        <v>0</v>
      </c>
      <c r="H22" s="34">
        <f>-SUMIF('1.3 FY2018'!$B:$B,Database!$B22,'1.3 FY2018'!$F:$F)</f>
        <v>0</v>
      </c>
      <c r="I22" s="35" t="str">
        <f>VLOOKUP($C22,'P&amp;L statement'!X:Y,2,0)</f>
        <v>Recharges</v>
      </c>
    </row>
    <row r="23" spans="2:9" x14ac:dyDescent="0.2">
      <c r="B23" s="31" t="s">
        <v>116</v>
      </c>
      <c r="C23" s="32" t="str">
        <f>VLOOKUP(Database!$B23,'1.1 FY2016'!$B:G,2,0)</f>
        <v>Corporate recharges</v>
      </c>
      <c r="D23" s="33" t="str">
        <f>VLOOKUP(Database!$B23,'1.1 FY2016'!$B:H,3,0)</f>
        <v>1087</v>
      </c>
      <c r="E23" s="32" t="str">
        <f>VLOOKUP(Database!$B23,'1.1 FY2016'!$B:I,4,0)</f>
        <v>Gener Beauty GmbH</v>
      </c>
      <c r="F23" s="34">
        <f>-SUMIF('1.1 FY2016'!$B:$B,Database!$B23,'1.1 FY2016'!$F:$F)</f>
        <v>33736.5</v>
      </c>
      <c r="G23" s="34">
        <f>-SUMIF('1.2 FY2017'!$B:$B,Database!$B23,'1.2 FY2017'!$F:$F)</f>
        <v>0</v>
      </c>
      <c r="H23" s="34">
        <f>-SUMIF('1.3 FY2018'!$B:$B,Database!$B23,'1.3 FY2018'!$F:$F)</f>
        <v>0</v>
      </c>
      <c r="I23" s="35" t="str">
        <f>VLOOKUP($C23,'P&amp;L statement'!X:Y,2,0)</f>
        <v>Recharges</v>
      </c>
    </row>
    <row r="24" spans="2:9" x14ac:dyDescent="0.2">
      <c r="B24" s="31" t="s">
        <v>117</v>
      </c>
      <c r="C24" s="32" t="str">
        <f>VLOOKUP(Database!$B24,'1.1 FY2016'!$B:G,2,0)</f>
        <v>Corporate recharges</v>
      </c>
      <c r="D24" s="33">
        <f>VLOOKUP(Database!$B24,'1.1 FY2016'!$B:H,3,0)</f>
        <v>1009</v>
      </c>
      <c r="E24" s="32" t="str">
        <f>VLOOKUP(Database!$B24,'1.1 FY2016'!$B:I,4,0)</f>
        <v>Green Ventures Ltd</v>
      </c>
      <c r="F24" s="34">
        <f>-SUMIF('1.1 FY2016'!$B:$B,Database!$B24,'1.1 FY2016'!$F:$F)</f>
        <v>0</v>
      </c>
      <c r="G24" s="34">
        <f>-SUMIF('1.2 FY2017'!$B:$B,Database!$B24,'1.2 FY2017'!$F:$F)</f>
        <v>0</v>
      </c>
      <c r="H24" s="34">
        <f>-SUMIF('1.3 FY2018'!$B:$B,Database!$B24,'1.3 FY2018'!$F:$F)</f>
        <v>0</v>
      </c>
      <c r="I24" s="35" t="str">
        <f>VLOOKUP($C24,'P&amp;L statement'!X:Y,2,0)</f>
        <v>Recharges</v>
      </c>
    </row>
    <row r="25" spans="2:9" x14ac:dyDescent="0.2">
      <c r="B25" s="31" t="s">
        <v>118</v>
      </c>
      <c r="C25" s="32" t="str">
        <f>VLOOKUP(Database!$B25,'1.1 FY2016'!$B:G,2,0)</f>
        <v>Corporate recharges</v>
      </c>
      <c r="D25" s="33">
        <f>VLOOKUP(Database!$B25,'1.1 FY2016'!$B:H,3,0)</f>
        <v>1007</v>
      </c>
      <c r="E25" s="32" t="str">
        <f>VLOOKUP(Database!$B25,'1.1 FY2016'!$B:I,4,0)</f>
        <v>Generco Sunshine JSC</v>
      </c>
      <c r="F25" s="34">
        <f>-SUMIF('1.1 FY2016'!$B:$B,Database!$B25,'1.1 FY2016'!$F:$F)</f>
        <v>0</v>
      </c>
      <c r="G25" s="34">
        <f>-SUMIF('1.2 FY2017'!$B:$B,Database!$B25,'1.2 FY2017'!$F:$F)</f>
        <v>0</v>
      </c>
      <c r="H25" s="34">
        <f>-SUMIF('1.3 FY2018'!$B:$B,Database!$B25,'1.3 FY2018'!$F:$F)</f>
        <v>0</v>
      </c>
      <c r="I25" s="35" t="str">
        <f>VLOOKUP($C25,'P&amp;L statement'!X:Y,2,0)</f>
        <v>Recharges</v>
      </c>
    </row>
    <row r="26" spans="2:9" x14ac:dyDescent="0.2">
      <c r="B26" s="31" t="s">
        <v>119</v>
      </c>
      <c r="C26" s="32" t="str">
        <f>VLOOKUP(Database!$B26,'1.1 FY2016'!$B:G,2,0)</f>
        <v>Corporate recharges</v>
      </c>
      <c r="D26" s="33">
        <f>VLOOKUP(Database!$B26,'1.1 FY2016'!$B:H,3,0)</f>
        <v>1008</v>
      </c>
      <c r="E26" s="32" t="str">
        <f>VLOOKUP(Database!$B26,'1.1 FY2016'!$B:I,4,0)</f>
        <v>Greenco Ltd</v>
      </c>
      <c r="F26" s="34">
        <f>-SUMIF('1.1 FY2016'!$B:$B,Database!$B26,'1.1 FY2016'!$F:$F)</f>
        <v>0</v>
      </c>
      <c r="G26" s="34">
        <f>-SUMIF('1.2 FY2017'!$B:$B,Database!$B26,'1.2 FY2017'!$F:$F)</f>
        <v>0</v>
      </c>
      <c r="H26" s="34">
        <f>-SUMIF('1.3 FY2018'!$B:$B,Database!$B26,'1.3 FY2018'!$F:$F)</f>
        <v>0</v>
      </c>
      <c r="I26" s="35" t="str">
        <f>VLOOKUP($C26,'P&amp;L statement'!X:Y,2,0)</f>
        <v>Recharges</v>
      </c>
    </row>
    <row r="27" spans="2:9" x14ac:dyDescent="0.2">
      <c r="B27" s="31" t="s">
        <v>120</v>
      </c>
      <c r="C27" s="32" t="str">
        <f>VLOOKUP(Database!$B27,'1.1 FY2016'!$B:G,2,0)</f>
        <v>Corporate recharges</v>
      </c>
      <c r="D27" s="33">
        <f>VLOOKUP(Database!$B27,'1.1 FY2016'!$B:H,3,0)</f>
        <v>1240</v>
      </c>
      <c r="E27" s="32" t="str">
        <f>VLOOKUP(Database!$B27,'1.1 FY2016'!$B:I,4,0)</f>
        <v xml:space="preserve">Generco UK </v>
      </c>
      <c r="F27" s="34">
        <f>-SUMIF('1.1 FY2016'!$B:$B,Database!$B27,'1.1 FY2016'!$F:$F)</f>
        <v>199600.4</v>
      </c>
      <c r="G27" s="34">
        <f>-SUMIF('1.2 FY2017'!$B:$B,Database!$B27,'1.2 FY2017'!$F:$F)</f>
        <v>10461.36</v>
      </c>
      <c r="H27" s="34">
        <f>-SUMIF('1.3 FY2018'!$B:$B,Database!$B27,'1.3 FY2018'!$F:$F)</f>
        <v>0</v>
      </c>
      <c r="I27" s="35" t="str">
        <f>VLOOKUP($C27,'P&amp;L statement'!X:Y,2,0)</f>
        <v>Recharges</v>
      </c>
    </row>
    <row r="28" spans="2:9" x14ac:dyDescent="0.2">
      <c r="B28" s="31" t="s">
        <v>121</v>
      </c>
      <c r="C28" s="32" t="str">
        <f>VLOOKUP(Database!$B28,'1.1 FY2016'!$B:G,2,0)</f>
        <v>Corporate recharges</v>
      </c>
      <c r="D28" s="33">
        <f>VLOOKUP(Database!$B28,'1.1 FY2016'!$B:H,3,0)</f>
        <v>111111</v>
      </c>
      <c r="E28" s="32" t="str">
        <f>VLOOKUP(Database!$B28,'1.1 FY2016'!$B:I,4,0)</f>
        <v>External</v>
      </c>
      <c r="F28" s="34">
        <f>-SUMIF('1.1 FY2016'!$B:$B,Database!$B28,'1.1 FY2016'!$F:$F)</f>
        <v>539141.4</v>
      </c>
      <c r="G28" s="34">
        <f>-SUMIF('1.2 FY2017'!$B:$B,Database!$B28,'1.2 FY2017'!$F:$F)</f>
        <v>6785.94</v>
      </c>
      <c r="H28" s="34">
        <f>-SUMIF('1.3 FY2018'!$B:$B,Database!$B28,'1.3 FY2018'!$F:$F)</f>
        <v>902857.84299999999</v>
      </c>
      <c r="I28" s="35" t="str">
        <f>VLOOKUP($C28,'P&amp;L statement'!X:Y,2,0)</f>
        <v>Recharges</v>
      </c>
    </row>
    <row r="29" spans="2:9" x14ac:dyDescent="0.2">
      <c r="B29" s="31" t="s">
        <v>122</v>
      </c>
      <c r="C29" s="32" t="str">
        <f>VLOOKUP(Database!$B29,'1.1 FY2016'!$B:G,2,0)</f>
        <v>Other income</v>
      </c>
      <c r="D29" s="33">
        <f>VLOOKUP(Database!$B29,'1.1 FY2016'!$B:H,3,0)</f>
        <v>111111</v>
      </c>
      <c r="E29" s="32" t="str">
        <f>VLOOKUP(Database!$B29,'1.1 FY2016'!$B:I,4,0)</f>
        <v>External</v>
      </c>
      <c r="F29" s="34">
        <f>-SUMIF('1.1 FY2016'!$B:$B,Database!$B29,'1.1 FY2016'!$F:$F)</f>
        <v>57.221999999999994</v>
      </c>
      <c r="G29" s="34">
        <f>-SUMIF('1.2 FY2017'!$B:$B,Database!$B29,'1.2 FY2017'!$F:$F)</f>
        <v>-9793.84</v>
      </c>
      <c r="H29" s="34">
        <f>-SUMIF('1.3 FY2018'!$B:$B,Database!$B29,'1.3 FY2018'!$F:$F)</f>
        <v>15872.001999999999</v>
      </c>
      <c r="I29" s="35" t="str">
        <f>VLOOKUP($C29,'P&amp;L statement'!X:Y,2,0)</f>
        <v>Other income</v>
      </c>
    </row>
    <row r="30" spans="2:9" x14ac:dyDescent="0.2">
      <c r="B30" s="31" t="s">
        <v>123</v>
      </c>
      <c r="C30" s="32" t="str">
        <f>VLOOKUP(Database!$B30,'1.1 FY2016'!$B:G,2,0)</f>
        <v>Marketing expenses</v>
      </c>
      <c r="D30" s="33">
        <f>VLOOKUP(Database!$B30,'1.1 FY2016'!$B:H,3,0)</f>
        <v>111111</v>
      </c>
      <c r="E30" s="32" t="str">
        <f>VLOOKUP(Database!$B30,'1.1 FY2016'!$B:I,4,0)</f>
        <v>External</v>
      </c>
      <c r="F30" s="34">
        <f>-SUMIF('1.1 FY2016'!$B:$B,Database!$B30,'1.1 FY2016'!$F:$F)</f>
        <v>-22314.879999999997</v>
      </c>
      <c r="G30" s="34">
        <f>-SUMIF('1.2 FY2017'!$B:$B,Database!$B30,'1.2 FY2017'!$F:$F)</f>
        <v>-65947.7</v>
      </c>
      <c r="H30" s="34">
        <f>-SUMIF('1.3 FY2018'!$B:$B,Database!$B30,'1.3 FY2018'!$F:$F)</f>
        <v>-57.317999999999998</v>
      </c>
      <c r="I30" s="35" t="str">
        <f>VLOOKUP($C30,'P&amp;L statement'!X:Y,2,0)</f>
        <v>Other operating expenses</v>
      </c>
    </row>
    <row r="31" spans="2:9" x14ac:dyDescent="0.2">
      <c r="B31" s="31" t="s">
        <v>124</v>
      </c>
      <c r="C31" s="32" t="str">
        <f>VLOOKUP(Database!$B31,'1.1 FY2016'!$B:G,2,0)</f>
        <v>Software&amp;IT</v>
      </c>
      <c r="D31" s="33">
        <f>VLOOKUP(Database!$B31,'1.1 FY2016'!$B:H,3,0)</f>
        <v>88</v>
      </c>
      <c r="E31" s="32" t="str">
        <f>VLOOKUP(Database!$B31,'1.1 FY2016'!$B:I,4,0)</f>
        <v>Generco Ltd</v>
      </c>
      <c r="F31" s="34">
        <f>-SUMIF('1.1 FY2016'!$B:$B,Database!$B31,'1.1 FY2016'!$F:$F)</f>
        <v>-204000</v>
      </c>
      <c r="G31" s="34">
        <f>-SUMIF('1.2 FY2017'!$B:$B,Database!$B31,'1.2 FY2017'!$F:$F)</f>
        <v>0</v>
      </c>
      <c r="H31" s="34">
        <f>-SUMIF('1.3 FY2018'!$B:$B,Database!$B31,'1.3 FY2018'!$F:$F)</f>
        <v>0</v>
      </c>
      <c r="I31" s="35" t="str">
        <f>VLOOKUP($C31,'P&amp;L statement'!X:Y,2,0)</f>
        <v>Other operating expenses</v>
      </c>
    </row>
    <row r="32" spans="2:9" x14ac:dyDescent="0.2">
      <c r="B32" s="31" t="s">
        <v>125</v>
      </c>
      <c r="C32" s="32" t="str">
        <f>VLOOKUP(Database!$B32,'1.1 FY2016'!$B:G,2,0)</f>
        <v>Software&amp;IT</v>
      </c>
      <c r="D32" s="33">
        <f>VLOOKUP(Database!$B32,'1.1 FY2016'!$B:H,3,0)</f>
        <v>111111</v>
      </c>
      <c r="E32" s="32" t="str">
        <f>VLOOKUP(Database!$B32,'1.1 FY2016'!$B:I,4,0)</f>
        <v>External</v>
      </c>
      <c r="F32" s="34">
        <f>-SUMIF('1.1 FY2016'!$B:$B,Database!$B32,'1.1 FY2016'!$F:$F)</f>
        <v>-138.41399999999999</v>
      </c>
      <c r="G32" s="34">
        <f>-SUMIF('1.2 FY2017'!$B:$B,Database!$B32,'1.2 FY2017'!$F:$F)</f>
        <v>-5138.91</v>
      </c>
      <c r="H32" s="34">
        <f>-SUMIF('1.3 FY2018'!$B:$B,Database!$B32,'1.3 FY2018'!$F:$F)</f>
        <v>-19198.66</v>
      </c>
      <c r="I32" s="35" t="str">
        <f>VLOOKUP($C32,'P&amp;L statement'!X:Y,2,0)</f>
        <v>Other operating expenses</v>
      </c>
    </row>
    <row r="33" spans="2:9" x14ac:dyDescent="0.2">
      <c r="B33" s="31" t="s">
        <v>126</v>
      </c>
      <c r="C33" s="32" t="str">
        <f>VLOOKUP(Database!$B33,'1.1 FY2016'!$B:G,2,0)</f>
        <v>Leasings</v>
      </c>
      <c r="D33" s="33">
        <f>VLOOKUP(Database!$B33,'1.1 FY2016'!$B:H,3,0)</f>
        <v>111111</v>
      </c>
      <c r="E33" s="32" t="str">
        <f>VLOOKUP(Database!$B33,'1.1 FY2016'!$B:I,4,0)</f>
        <v>External</v>
      </c>
      <c r="F33" s="34">
        <f>-SUMIF('1.1 FY2016'!$B:$B,Database!$B33,'1.1 FY2016'!$F:$F)</f>
        <v>-1127445.872</v>
      </c>
      <c r="G33" s="34">
        <f>-SUMIF('1.2 FY2017'!$B:$B,Database!$B33,'1.2 FY2017'!$F:$F)</f>
        <v>-1055381.4750000001</v>
      </c>
      <c r="H33" s="34">
        <f>-SUMIF('1.3 FY2018'!$B:$B,Database!$B33,'1.3 FY2018'!$F:$F)</f>
        <v>172933.44899999999</v>
      </c>
      <c r="I33" s="35" t="str">
        <f>VLOOKUP($C33,'P&amp;L statement'!X:Y,2,0)</f>
        <v>Leasings</v>
      </c>
    </row>
    <row r="34" spans="2:9" x14ac:dyDescent="0.2">
      <c r="B34" s="31" t="s">
        <v>127</v>
      </c>
      <c r="C34" s="32" t="str">
        <f>VLOOKUP(Database!$B34,'1.1 FY2016'!$B:G,2,0)</f>
        <v>Service expenses</v>
      </c>
      <c r="D34" s="33" t="str">
        <f>VLOOKUP(Database!$B34,'1.1 FY2016'!$B:H,3,0)</f>
        <v>43</v>
      </c>
      <c r="E34" s="32" t="str">
        <f>VLOOKUP(Database!$B34,'1.1 FY2016'!$B:I,4,0)</f>
        <v>Greeny France SL</v>
      </c>
      <c r="F34" s="34">
        <f>-SUMIF('1.1 FY2016'!$B:$B,Database!$B34,'1.1 FY2016'!$F:$F)</f>
        <v>-133722</v>
      </c>
      <c r="G34" s="34">
        <f>-SUMIF('1.2 FY2017'!$B:$B,Database!$B34,'1.2 FY2017'!$F:$F)</f>
        <v>0</v>
      </c>
      <c r="H34" s="34">
        <f>-SUMIF('1.3 FY2018'!$B:$B,Database!$B34,'1.3 FY2018'!$F:$F)</f>
        <v>0</v>
      </c>
      <c r="I34" s="35" t="str">
        <f>VLOOKUP($C34,'P&amp;L statement'!X:Y,2,0)</f>
        <v>Services</v>
      </c>
    </row>
    <row r="35" spans="2:9" x14ac:dyDescent="0.2">
      <c r="B35" s="31" t="s">
        <v>128</v>
      </c>
      <c r="C35" s="32" t="str">
        <f>VLOOKUP(Database!$B35,'1.1 FY2016'!$B:G,2,0)</f>
        <v>Service expenses</v>
      </c>
      <c r="D35" s="33" t="str">
        <f>VLOOKUP(Database!$B35,'1.1 FY2016'!$B:H,3,0)</f>
        <v>2240</v>
      </c>
      <c r="E35" s="32" t="str">
        <f>VLOOKUP(Database!$B35,'1.1 FY2016'!$B:I,4,0)</f>
        <v>Greeny Germany GmbH</v>
      </c>
      <c r="F35" s="34">
        <f>-SUMIF('1.1 FY2016'!$B:$B,Database!$B35,'1.1 FY2016'!$F:$F)</f>
        <v>-328061.886</v>
      </c>
      <c r="G35" s="34">
        <f>-SUMIF('1.2 FY2017'!$B:$B,Database!$B35,'1.2 FY2017'!$F:$F)</f>
        <v>-430845.34499999997</v>
      </c>
      <c r="H35" s="34">
        <f>-SUMIF('1.3 FY2018'!$B:$B,Database!$B35,'1.3 FY2018'!$F:$F)</f>
        <v>0</v>
      </c>
      <c r="I35" s="35" t="str">
        <f>VLOOKUP($C35,'P&amp;L statement'!X:Y,2,0)</f>
        <v>Services</v>
      </c>
    </row>
    <row r="36" spans="2:9" x14ac:dyDescent="0.2">
      <c r="B36" s="31" t="s">
        <v>129</v>
      </c>
      <c r="C36" s="32" t="str">
        <f>VLOOKUP(Database!$B36,'1.1 FY2016'!$B:G,2,0)</f>
        <v>Service expenses</v>
      </c>
      <c r="D36" s="33">
        <f>VLOOKUP(Database!$B36,'1.1 FY2016'!$B:H,3,0)</f>
        <v>111111</v>
      </c>
      <c r="E36" s="32" t="str">
        <f>VLOOKUP(Database!$B36,'1.1 FY2016'!$B:I,4,0)</f>
        <v>External</v>
      </c>
      <c r="F36" s="34">
        <f>-SUMIF('1.1 FY2016'!$B:$B,Database!$B36,'1.1 FY2016'!$F:$F)</f>
        <v>-2081304.3219999997</v>
      </c>
      <c r="G36" s="34">
        <f>-SUMIF('1.2 FY2017'!$B:$B,Database!$B36,'1.2 FY2017'!$F:$F)</f>
        <v>-1130021</v>
      </c>
      <c r="H36" s="34">
        <f>-SUMIF('1.3 FY2018'!$B:$B,Database!$B36,'1.3 FY2018'!$F:$F)</f>
        <v>-1481408.47</v>
      </c>
      <c r="I36" s="35" t="str">
        <f>VLOOKUP($C36,'P&amp;L statement'!X:Y,2,0)</f>
        <v>Services</v>
      </c>
    </row>
    <row r="37" spans="2:9" x14ac:dyDescent="0.2">
      <c r="B37" s="31" t="s">
        <v>130</v>
      </c>
      <c r="C37" s="32" t="str">
        <f>VLOOKUP(Database!$B37,'1.1 FY2016'!$B:G,2,0)</f>
        <v>Charges and contributions</v>
      </c>
      <c r="D37" s="33">
        <f>VLOOKUP(Database!$B37,'1.1 FY2016'!$B:H,3,0)</f>
        <v>111111</v>
      </c>
      <c r="E37" s="32" t="str">
        <f>VLOOKUP(Database!$B37,'1.1 FY2016'!$B:I,4,0)</f>
        <v>External</v>
      </c>
      <c r="F37" s="34">
        <f>-SUMIF('1.1 FY2016'!$B:$B,Database!$B37,'1.1 FY2016'!$F:$F)</f>
        <v>-33410.031999999999</v>
      </c>
      <c r="G37" s="34">
        <f>-SUMIF('1.2 FY2017'!$B:$B,Database!$B37,'1.2 FY2017'!$F:$F)</f>
        <v>-7293.5450000000001</v>
      </c>
      <c r="H37" s="34">
        <f>-SUMIF('1.3 FY2018'!$B:$B,Database!$B37,'1.3 FY2018'!$F:$F)</f>
        <v>-40048.799999999996</v>
      </c>
      <c r="I37" s="35" t="str">
        <f>VLOOKUP($C37,'P&amp;L statement'!X:Y,2,0)</f>
        <v>Other operating expenses</v>
      </c>
    </row>
    <row r="38" spans="2:9" x14ac:dyDescent="0.2">
      <c r="B38" s="31" t="s">
        <v>131</v>
      </c>
      <c r="C38" s="32" t="str">
        <f>VLOOKUP(Database!$B38,'1.1 FY2016'!$B:G,2,0)</f>
        <v>Insurance expenses</v>
      </c>
      <c r="D38" s="33">
        <f>VLOOKUP(Database!$B38,'1.1 FY2016'!$B:H,3,0)</f>
        <v>111111</v>
      </c>
      <c r="E38" s="32" t="str">
        <f>VLOOKUP(Database!$B38,'1.1 FY2016'!$B:I,4,0)</f>
        <v>External</v>
      </c>
      <c r="F38" s="34">
        <f>-SUMIF('1.1 FY2016'!$B:$B,Database!$B38,'1.1 FY2016'!$F:$F)</f>
        <v>-213090.85199999998</v>
      </c>
      <c r="G38" s="34">
        <f>-SUMIF('1.2 FY2017'!$B:$B,Database!$B38,'1.2 FY2017'!$F:$F)</f>
        <v>-48468.665000000001</v>
      </c>
      <c r="H38" s="34">
        <f>-SUMIF('1.3 FY2018'!$B:$B,Database!$B38,'1.3 FY2018'!$F:$F)</f>
        <v>-64039.82699999999</v>
      </c>
      <c r="I38" s="35" t="str">
        <f>VLOOKUP($C38,'P&amp;L statement'!X:Y,2,0)</f>
        <v>Other operating expenses</v>
      </c>
    </row>
    <row r="39" spans="2:9" x14ac:dyDescent="0.2">
      <c r="B39" s="31" t="s">
        <v>132</v>
      </c>
      <c r="C39" s="32" t="str">
        <f>VLOOKUP(Database!$B39,'1.1 FY2016'!$B:G,2,0)</f>
        <v>Travel expenses</v>
      </c>
      <c r="D39" s="33">
        <f>VLOOKUP(Database!$B39,'1.1 FY2016'!$B:H,3,0)</f>
        <v>111111</v>
      </c>
      <c r="E39" s="32" t="str">
        <f>VLOOKUP(Database!$B39,'1.1 FY2016'!$B:I,4,0)</f>
        <v>External</v>
      </c>
      <c r="F39" s="34">
        <f>-SUMIF('1.1 FY2016'!$B:$B,Database!$B39,'1.1 FY2016'!$F:$F)</f>
        <v>-1813525.004</v>
      </c>
      <c r="G39" s="34">
        <f>-SUMIF('1.2 FY2017'!$B:$B,Database!$B39,'1.2 FY2017'!$F:$F)</f>
        <v>-2393259.19</v>
      </c>
      <c r="H39" s="34">
        <f>-SUMIF('1.3 FY2018'!$B:$B,Database!$B39,'1.3 FY2018'!$F:$F)</f>
        <v>-2514431.8869999996</v>
      </c>
      <c r="I39" s="35" t="str">
        <f>VLOOKUP($C39,'P&amp;L statement'!X:Y,2,0)</f>
        <v>Travel costs</v>
      </c>
    </row>
    <row r="40" spans="2:9" x14ac:dyDescent="0.2">
      <c r="B40" s="31" t="s">
        <v>133</v>
      </c>
      <c r="C40" s="32" t="str">
        <f>VLOOKUP(Database!$B40,'1.1 FY2016'!$B:G,2,0)</f>
        <v>Utility expenses</v>
      </c>
      <c r="D40" s="33">
        <f>VLOOKUP(Database!$B40,'1.1 FY2016'!$B:H,3,0)</f>
        <v>111111</v>
      </c>
      <c r="E40" s="32" t="str">
        <f>VLOOKUP(Database!$B40,'1.1 FY2016'!$B:I,4,0)</f>
        <v>External</v>
      </c>
      <c r="F40" s="34">
        <f>-SUMIF('1.1 FY2016'!$B:$B,Database!$B40,'1.1 FY2016'!$F:$F)</f>
        <v>-5552.2</v>
      </c>
      <c r="G40" s="34">
        <f>-SUMIF('1.2 FY2017'!$B:$B,Database!$B40,'1.2 FY2017'!$F:$F)</f>
        <v>-23069.654999999999</v>
      </c>
      <c r="H40" s="34">
        <f>-SUMIF('1.3 FY2018'!$B:$B,Database!$B40,'1.3 FY2018'!$F:$F)</f>
        <v>-4194.2999999999993</v>
      </c>
      <c r="I40" s="35" t="str">
        <f>VLOOKUP($C40,'P&amp;L statement'!X:Y,2,0)</f>
        <v>Other operating expenses</v>
      </c>
    </row>
    <row r="41" spans="2:9" x14ac:dyDescent="0.2">
      <c r="B41" s="31" t="s">
        <v>134</v>
      </c>
      <c r="C41" s="32" t="str">
        <f>VLOOKUP(Database!$B41,'1.1 FY2016'!$B:G,2,0)</f>
        <v>Legal expenses</v>
      </c>
      <c r="D41" s="33">
        <f>VLOOKUP(Database!$B41,'1.1 FY2016'!$B:H,3,0)</f>
        <v>111111</v>
      </c>
      <c r="E41" s="32" t="str">
        <f>VLOOKUP(Database!$B41,'1.1 FY2016'!$B:I,4,0)</f>
        <v>External</v>
      </c>
      <c r="F41" s="34">
        <f>-SUMIF('1.1 FY2016'!$B:$B,Database!$B41,'1.1 FY2016'!$F:$F)</f>
        <v>-43868.975999999995</v>
      </c>
      <c r="G41" s="34">
        <f>-SUMIF('1.2 FY2017'!$B:$B,Database!$B41,'1.2 FY2017'!$F:$F)</f>
        <v>-208366.935</v>
      </c>
      <c r="H41" s="34">
        <f>-SUMIF('1.3 FY2018'!$B:$B,Database!$B41,'1.3 FY2018'!$F:$F)</f>
        <v>-106525.708</v>
      </c>
      <c r="I41" s="35" t="str">
        <f>VLOOKUP($C41,'P&amp;L statement'!X:Y,2,0)</f>
        <v>Other operating expenses</v>
      </c>
    </row>
    <row r="42" spans="2:9" x14ac:dyDescent="0.2">
      <c r="B42" s="31" t="s">
        <v>135</v>
      </c>
      <c r="C42" s="32" t="str">
        <f>VLOOKUP(Database!$B42,'1.1 FY2016'!$B:G,2,0)</f>
        <v>Misc costs</v>
      </c>
      <c r="D42" s="33">
        <f>VLOOKUP(Database!$B42,'1.1 FY2016'!$B:H,3,0)</f>
        <v>111101</v>
      </c>
      <c r="E42" s="32" t="str">
        <f>VLOOKUP(Database!$B42,'1.1 FY2016'!$B:I,4,0)</f>
        <v>Not assigned</v>
      </c>
      <c r="F42" s="34">
        <f>-SUMIF('1.1 FY2016'!$B:$B,Database!$B42,'1.1 FY2016'!$F:$F)</f>
        <v>-10934.671999999999</v>
      </c>
      <c r="G42" s="34">
        <f>-SUMIF('1.2 FY2017'!$B:$B,Database!$B42,'1.2 FY2017'!$F:$F)</f>
        <v>-20323.309999999998</v>
      </c>
      <c r="H42" s="34">
        <f>-SUMIF('1.3 FY2018'!$B:$B,Database!$B42,'1.3 FY2018'!$F:$F)</f>
        <v>-109811.284</v>
      </c>
      <c r="I42" s="35" t="str">
        <f>VLOOKUP($C42,'P&amp;L statement'!X:Y,2,0)</f>
        <v>Other operating expenses</v>
      </c>
    </row>
    <row r="43" spans="2:9" x14ac:dyDescent="0.2">
      <c r="B43" s="31" t="s">
        <v>136</v>
      </c>
      <c r="C43" s="32" t="str">
        <f>VLOOKUP(Database!$B43,'1.1 FY2016'!$B:G,2,0)</f>
        <v>Consulting fees</v>
      </c>
      <c r="D43" s="33">
        <f>VLOOKUP(Database!$B43,'1.1 FY2016'!$B:H,3,0)</f>
        <v>111111</v>
      </c>
      <c r="E43" s="32" t="str">
        <f>VLOOKUP(Database!$B43,'1.1 FY2016'!$B:I,4,0)</f>
        <v>External</v>
      </c>
      <c r="F43" s="34">
        <f>-SUMIF('1.1 FY2016'!$B:$B,Database!$B43,'1.1 FY2016'!$F:$F)</f>
        <v>-20400</v>
      </c>
      <c r="G43" s="34">
        <f>-SUMIF('1.2 FY2017'!$B:$B,Database!$B43,'1.2 FY2017'!$F:$F)</f>
        <v>-169489</v>
      </c>
      <c r="H43" s="34">
        <f>-SUMIF('1.3 FY2018'!$B:$B,Database!$B43,'1.3 FY2018'!$F:$F)</f>
        <v>-61111.483999999997</v>
      </c>
      <c r="I43" s="35" t="str">
        <f>VLOOKUP($C43,'P&amp;L statement'!X:Y,2,0)</f>
        <v>Other operating expenses</v>
      </c>
    </row>
    <row r="44" spans="2:9" x14ac:dyDescent="0.2">
      <c r="B44" s="31" t="s">
        <v>137</v>
      </c>
      <c r="C44" s="32" t="str">
        <f>VLOOKUP(Database!$B44,'1.1 FY2016'!$B:G,2,0)</f>
        <v>Misc extraordinary expenses</v>
      </c>
      <c r="D44" s="33">
        <f>VLOOKUP(Database!$B44,'1.1 FY2016'!$B:H,3,0)</f>
        <v>105</v>
      </c>
      <c r="E44" s="32" t="str">
        <f>VLOOKUP(Database!$B44,'1.1 FY2016'!$B:I,4,0)</f>
        <v>Generco Healthcare Ltd</v>
      </c>
      <c r="F44" s="34">
        <f>-SUMIF('1.1 FY2016'!$B:$B,Database!$B44,'1.1 FY2016'!$F:$F)</f>
        <v>0</v>
      </c>
      <c r="G44" s="34">
        <f>-SUMIF('1.2 FY2017'!$B:$B,Database!$B44,'1.2 FY2017'!$F:$F)</f>
        <v>0</v>
      </c>
      <c r="H44" s="34">
        <f>-SUMIF('1.3 FY2018'!$B:$B,Database!$B44,'1.3 FY2018'!$F:$F)</f>
        <v>-1684415.2999999998</v>
      </c>
      <c r="I44" s="35" t="str">
        <f>VLOOKUP($C44,'P&amp;L statement'!X:Y,2,0)</f>
        <v>Other operating expenses</v>
      </c>
    </row>
    <row r="45" spans="2:9" x14ac:dyDescent="0.2">
      <c r="B45" s="31" t="s">
        <v>138</v>
      </c>
      <c r="C45" s="32" t="str">
        <f>VLOOKUP(Database!$B45,'1.1 FY2016'!$B:G,2,0)</f>
        <v>Misc extraordinary expenses</v>
      </c>
      <c r="D45" s="33">
        <f>VLOOKUP(Database!$B45,'1.1 FY2016'!$B:H,3,0)</f>
        <v>111111</v>
      </c>
      <c r="E45" s="32" t="str">
        <f>VLOOKUP(Database!$B45,'1.1 FY2016'!$B:I,4,0)</f>
        <v>External</v>
      </c>
      <c r="F45" s="34">
        <f>-SUMIF('1.1 FY2016'!$B:$B,Database!$B45,'1.1 FY2016'!$F:$F)</f>
        <v>-563918.152</v>
      </c>
      <c r="G45" s="34">
        <f>-SUMIF('1.2 FY2017'!$B:$B,Database!$B45,'1.2 FY2017'!$F:$F)</f>
        <v>-638869.13</v>
      </c>
      <c r="H45" s="34">
        <f>-SUMIF('1.3 FY2018'!$B:$B,Database!$B45,'1.3 FY2018'!$F:$F)</f>
        <v>-575626.2649999999</v>
      </c>
      <c r="I45" s="35" t="str">
        <f>VLOOKUP($C45,'P&amp;L statement'!X:Y,2,0)</f>
        <v>Other operating expenses</v>
      </c>
    </row>
    <row r="46" spans="2:9" x14ac:dyDescent="0.2">
      <c r="B46" s="31" t="s">
        <v>139</v>
      </c>
      <c r="C46" s="32" t="str">
        <f>VLOOKUP(Database!$B46,'1.1 FY2016'!$B:G,2,0)</f>
        <v>Difference from eliminations</v>
      </c>
      <c r="D46" s="33">
        <f>VLOOKUP(Database!$B46,'1.1 FY2016'!$B:H,3,0)</f>
        <v>1009</v>
      </c>
      <c r="E46" s="32" t="str">
        <f>VLOOKUP(Database!$B46,'1.1 FY2016'!$B:I,4,0)</f>
        <v>Green Ventures Ltd</v>
      </c>
      <c r="F46" s="34">
        <f>-SUMIF('1.1 FY2016'!$B:$B,Database!$B46,'1.1 FY2016'!$F:$F)</f>
        <v>0</v>
      </c>
      <c r="G46" s="34">
        <f>-SUMIF('1.2 FY2017'!$B:$B,Database!$B46,'1.2 FY2017'!$F:$F)</f>
        <v>0</v>
      </c>
      <c r="H46" s="34">
        <f>-SUMIF('1.3 FY2018'!$B:$B,Database!$B46,'1.3 FY2018'!$F:$F)</f>
        <v>0</v>
      </c>
      <c r="I46" s="35" t="str">
        <f>VLOOKUP($C46,'P&amp;L statement'!X:Y,2,0)</f>
        <v>-</v>
      </c>
    </row>
    <row r="47" spans="2:9" x14ac:dyDescent="0.2">
      <c r="B47" s="31" t="s">
        <v>140</v>
      </c>
      <c r="C47" s="32" t="str">
        <f>VLOOKUP(Database!$B47,'1.1 FY2016'!$B:G,2,0)</f>
        <v>Difference from eliminations</v>
      </c>
      <c r="D47" s="33">
        <f>VLOOKUP(Database!$B47,'1.1 FY2016'!$B:H,3,0)</f>
        <v>1007</v>
      </c>
      <c r="E47" s="32" t="str">
        <f>VLOOKUP(Database!$B47,'1.1 FY2016'!$B:I,4,0)</f>
        <v>Generco Sunshine JSC</v>
      </c>
      <c r="F47" s="34">
        <f>-SUMIF('1.1 FY2016'!$B:$B,Database!$B47,'1.1 FY2016'!$F:$F)</f>
        <v>0</v>
      </c>
      <c r="G47" s="34">
        <f>-SUMIF('1.2 FY2017'!$B:$B,Database!$B47,'1.2 FY2017'!$F:$F)</f>
        <v>0</v>
      </c>
      <c r="H47" s="34">
        <f>-SUMIF('1.3 FY2018'!$B:$B,Database!$B47,'1.3 FY2018'!$F:$F)</f>
        <v>0</v>
      </c>
      <c r="I47" s="35" t="str">
        <f>VLOOKUP($C47,'P&amp;L statement'!X:Y,2,0)</f>
        <v>-</v>
      </c>
    </row>
    <row r="48" spans="2:9" x14ac:dyDescent="0.2">
      <c r="B48" s="31" t="s">
        <v>141</v>
      </c>
      <c r="C48" s="32" t="str">
        <f>VLOOKUP(Database!$B48,'1.1 FY2016'!$B:G,2,0)</f>
        <v>Difference from eliminations</v>
      </c>
      <c r="D48" s="33">
        <f>VLOOKUP(Database!$B48,'1.1 FY2016'!$B:H,3,0)</f>
        <v>1008</v>
      </c>
      <c r="E48" s="32" t="str">
        <f>VLOOKUP(Database!$B48,'1.1 FY2016'!$B:I,4,0)</f>
        <v>Greenco Ltd</v>
      </c>
      <c r="F48" s="34">
        <f>-SUMIF('1.1 FY2016'!$B:$B,Database!$B48,'1.1 FY2016'!$F:$F)</f>
        <v>0</v>
      </c>
      <c r="G48" s="34">
        <f>-SUMIF('1.2 FY2017'!$B:$B,Database!$B48,'1.2 FY2017'!$F:$F)</f>
        <v>0</v>
      </c>
      <c r="H48" s="34">
        <f>-SUMIF('1.3 FY2018'!$B:$B,Database!$B48,'1.3 FY2018'!$F:$F)</f>
        <v>0</v>
      </c>
      <c r="I48" s="35" t="str">
        <f>VLOOKUP($C48,'P&amp;L statement'!X:Y,2,0)</f>
        <v>-</v>
      </c>
    </row>
    <row r="49" spans="2:9" x14ac:dyDescent="0.2">
      <c r="B49" s="31" t="s">
        <v>142</v>
      </c>
      <c r="C49" s="32" t="str">
        <f>VLOOKUP(Database!$B49,'1.1 FY2016'!$B:G,2,0)</f>
        <v>Interest income</v>
      </c>
      <c r="D49" s="33">
        <f>VLOOKUP(Database!$B49,'1.1 FY2016'!$B:H,3,0)</f>
        <v>1009</v>
      </c>
      <c r="E49" s="32" t="str">
        <f>VLOOKUP(Database!$B49,'1.1 FY2016'!$B:I,4,0)</f>
        <v>Green Ventures Ltd</v>
      </c>
      <c r="F49" s="34">
        <f>-SUMIF('1.1 FY2016'!$B:$B,Database!$B49,'1.1 FY2016'!$F:$F)</f>
        <v>0</v>
      </c>
      <c r="G49" s="34">
        <f>-SUMIF('1.2 FY2017'!$B:$B,Database!$B49,'1.2 FY2017'!$F:$F)</f>
        <v>0</v>
      </c>
      <c r="H49" s="34">
        <f>-SUMIF('1.3 FY2018'!$B:$B,Database!$B49,'1.3 FY2018'!$F:$F)</f>
        <v>0</v>
      </c>
      <c r="I49" s="35" t="str">
        <f>VLOOKUP($C49,'P&amp;L statement'!X:Y,2,0)</f>
        <v>Financial items</v>
      </c>
    </row>
    <row r="50" spans="2:9" x14ac:dyDescent="0.2">
      <c r="B50" s="31" t="s">
        <v>143</v>
      </c>
      <c r="C50" s="32" t="str">
        <f>VLOOKUP(Database!$B50,'1.1 FY2016'!$B:G,2,0)</f>
        <v>Interest income</v>
      </c>
      <c r="D50" s="33">
        <f>VLOOKUP(Database!$B50,'1.1 FY2016'!$B:H,3,0)</f>
        <v>1007</v>
      </c>
      <c r="E50" s="32" t="str">
        <f>VLOOKUP(Database!$B50,'1.1 FY2016'!$B:I,4,0)</f>
        <v>Generco Sunshine JSC</v>
      </c>
      <c r="F50" s="34">
        <f>-SUMIF('1.1 FY2016'!$B:$B,Database!$B50,'1.1 FY2016'!$F:$F)</f>
        <v>0</v>
      </c>
      <c r="G50" s="34">
        <f>-SUMIF('1.2 FY2017'!$B:$B,Database!$B50,'1.2 FY2017'!$F:$F)</f>
        <v>0</v>
      </c>
      <c r="H50" s="34">
        <f>-SUMIF('1.3 FY2018'!$B:$B,Database!$B50,'1.3 FY2018'!$F:$F)</f>
        <v>0</v>
      </c>
      <c r="I50" s="35" t="str">
        <f>VLOOKUP($C50,'P&amp;L statement'!X:Y,2,0)</f>
        <v>Financial items</v>
      </c>
    </row>
    <row r="51" spans="2:9" x14ac:dyDescent="0.2">
      <c r="B51" s="31" t="s">
        <v>144</v>
      </c>
      <c r="C51" s="32" t="str">
        <f>VLOOKUP(Database!$B51,'1.1 FY2016'!$B:G,2,0)</f>
        <v>Interest income</v>
      </c>
      <c r="D51" s="33">
        <f>VLOOKUP(Database!$B51,'1.1 FY2016'!$B:H,3,0)</f>
        <v>1008</v>
      </c>
      <c r="E51" s="32" t="str">
        <f>VLOOKUP(Database!$B51,'1.1 FY2016'!$B:I,4,0)</f>
        <v>Greenco Ltd</v>
      </c>
      <c r="F51" s="34">
        <f>-SUMIF('1.1 FY2016'!$B:$B,Database!$B51,'1.1 FY2016'!$F:$F)</f>
        <v>0</v>
      </c>
      <c r="G51" s="34">
        <f>-SUMIF('1.2 FY2017'!$B:$B,Database!$B51,'1.2 FY2017'!$F:$F)</f>
        <v>0</v>
      </c>
      <c r="H51" s="34">
        <f>-SUMIF('1.3 FY2018'!$B:$B,Database!$B51,'1.3 FY2018'!$F:$F)</f>
        <v>0</v>
      </c>
      <c r="I51" s="35" t="str">
        <f>VLOOKUP($C51,'P&amp;L statement'!X:Y,2,0)</f>
        <v>Financial items</v>
      </c>
    </row>
    <row r="52" spans="2:9" x14ac:dyDescent="0.2">
      <c r="B52" s="31" t="s">
        <v>145</v>
      </c>
      <c r="C52" s="32" t="str">
        <f>VLOOKUP(Database!$B52,'1.1 FY2016'!$B:G,2,0)</f>
        <v>Interest income</v>
      </c>
      <c r="D52" s="33">
        <f>VLOOKUP(Database!$B52,'1.1 FY2016'!$B:H,3,0)</f>
        <v>1240</v>
      </c>
      <c r="E52" s="32" t="str">
        <f>VLOOKUP(Database!$B52,'1.1 FY2016'!$B:I,4,0)</f>
        <v xml:space="preserve">Generco UK </v>
      </c>
      <c r="F52" s="34">
        <f>-SUMIF('1.1 FY2016'!$B:$B,Database!$B52,'1.1 FY2016'!$F:$F)</f>
        <v>35810.228000000003</v>
      </c>
      <c r="G52" s="34">
        <f>-SUMIF('1.2 FY2017'!$B:$B,Database!$B52,'1.2 FY2017'!$F:$F)</f>
        <v>34224.959999999999</v>
      </c>
      <c r="H52" s="34">
        <f>-SUMIF('1.3 FY2018'!$B:$B,Database!$B52,'1.3 FY2018'!$F:$F)</f>
        <v>0</v>
      </c>
      <c r="I52" s="35" t="str">
        <f>VLOOKUP($C52,'P&amp;L statement'!X:Y,2,0)</f>
        <v>Financial items</v>
      </c>
    </row>
    <row r="53" spans="2:9" x14ac:dyDescent="0.2">
      <c r="B53" s="31" t="s">
        <v>146</v>
      </c>
      <c r="C53" s="32" t="str">
        <f>VLOOKUP(Database!$B53,'1.1 FY2016'!$B:G,2,0)</f>
        <v>Interest income</v>
      </c>
      <c r="D53" s="33">
        <f>VLOOKUP(Database!$B53,'1.1 FY2016'!$B:H,3,0)</f>
        <v>111111</v>
      </c>
      <c r="E53" s="32" t="str">
        <f>VLOOKUP(Database!$B53,'1.1 FY2016'!$B:I,4,0)</f>
        <v>External</v>
      </c>
      <c r="F53" s="34">
        <f>-SUMIF('1.1 FY2016'!$B:$B,Database!$B53,'1.1 FY2016'!$F:$F)</f>
        <v>51927.417999999998</v>
      </c>
      <c r="G53" s="34">
        <f>-SUMIF('1.2 FY2017'!$B:$B,Database!$B53,'1.2 FY2017'!$F:$F)</f>
        <v>2204.7199999999998</v>
      </c>
      <c r="H53" s="34">
        <f>-SUMIF('1.3 FY2018'!$B:$B,Database!$B53,'1.3 FY2018'!$F:$F)</f>
        <v>73809.511999999988</v>
      </c>
      <c r="I53" s="35" t="str">
        <f>VLOOKUP($C53,'P&amp;L statement'!X:Y,2,0)</f>
        <v>Financial items</v>
      </c>
    </row>
    <row r="54" spans="2:9" x14ac:dyDescent="0.2">
      <c r="B54" s="31" t="s">
        <v>147</v>
      </c>
      <c r="C54" s="32" t="str">
        <f>VLOOKUP(Database!$B54,'1.1 FY2016'!$B:G,2,0)</f>
        <v>Capitalized interest</v>
      </c>
      <c r="D54" s="33">
        <f>VLOOKUP(Database!$B54,'1.1 FY2016'!$B:H,3,0)</f>
        <v>111101</v>
      </c>
      <c r="E54" s="32" t="str">
        <f>VLOOKUP(Database!$B54,'1.1 FY2016'!$B:I,4,0)</f>
        <v>Not assigned</v>
      </c>
      <c r="F54" s="34">
        <f>-SUMIF('1.1 FY2016'!$B:$B,Database!$B54,'1.1 FY2016'!$F:$F)</f>
        <v>862270.63399999996</v>
      </c>
      <c r="G54" s="34">
        <f>-SUMIF('1.2 FY2017'!$B:$B,Database!$B54,'1.2 FY2017'!$F:$F)</f>
        <v>0</v>
      </c>
      <c r="H54" s="34">
        <f>-SUMIF('1.3 FY2018'!$B:$B,Database!$B54,'1.3 FY2018'!$F:$F)</f>
        <v>0</v>
      </c>
      <c r="I54" s="35" t="str">
        <f>VLOOKUP($C54,'P&amp;L statement'!X:Y,2,0)</f>
        <v>Capitalized costs</v>
      </c>
    </row>
    <row r="55" spans="2:9" x14ac:dyDescent="0.2">
      <c r="B55" s="31" t="s">
        <v>148</v>
      </c>
      <c r="C55" s="32" t="str">
        <f>VLOOKUP(Database!$B55,'1.1 FY2016'!$B:G,2,0)</f>
        <v>Non-recurring costs</v>
      </c>
      <c r="D55" s="33">
        <f>VLOOKUP(Database!$B55,'1.1 FY2016'!$B:H,3,0)</f>
        <v>111101</v>
      </c>
      <c r="E55" s="32" t="str">
        <f>VLOOKUP(Database!$B55,'1.1 FY2016'!$B:I,4,0)</f>
        <v>Not assigned</v>
      </c>
      <c r="F55" s="34">
        <f>-SUMIF('1.1 FY2016'!$B:$B,Database!$B55,'1.1 FY2016'!$F:$F)</f>
        <v>-22763</v>
      </c>
      <c r="G55" s="34">
        <f>-SUMIF('1.2 FY2017'!$B:$B,Database!$B55,'1.2 FY2017'!$F:$F)</f>
        <v>-80617.179999999993</v>
      </c>
      <c r="H55" s="34">
        <f>-SUMIF('1.3 FY2018'!$B:$B,Database!$B55,'1.3 FY2018'!$F:$F)</f>
        <v>-7173.195999999999</v>
      </c>
      <c r="I55" s="35" t="str">
        <f>VLOOKUP($C55,'P&amp;L statement'!X:Y,2,0)</f>
        <v>Extraordinary items</v>
      </c>
    </row>
    <row r="56" spans="2:9" x14ac:dyDescent="0.2">
      <c r="B56" s="31" t="s">
        <v>149</v>
      </c>
      <c r="C56" s="32" t="str">
        <f>VLOOKUP(Database!$B56,'1.1 FY2016'!$B:G,2,0)</f>
        <v>Interest expenses</v>
      </c>
      <c r="D56" s="33">
        <f>VLOOKUP(Database!$B56,'1.1 FY2016'!$B:H,3,0)</f>
        <v>88</v>
      </c>
      <c r="E56" s="32" t="str">
        <f>VLOOKUP(Database!$B56,'1.1 FY2016'!$B:I,4,0)</f>
        <v>Generco Ltd</v>
      </c>
      <c r="F56" s="34">
        <f>-SUMIF('1.1 FY2016'!$B:$B,Database!$B56,'1.1 FY2016'!$F:$F)</f>
        <v>-2930430.0120000001</v>
      </c>
      <c r="G56" s="34">
        <f>-SUMIF('1.2 FY2017'!$B:$B,Database!$B56,'1.2 FY2017'!$F:$F)</f>
        <v>-2752704.22</v>
      </c>
      <c r="H56" s="34">
        <f>-SUMIF('1.3 FY2018'!$B:$B,Database!$B56,'1.3 FY2018'!$F:$F)</f>
        <v>-2324465.8859999999</v>
      </c>
      <c r="I56" s="35" t="str">
        <f>VLOOKUP($C56,'P&amp;L statement'!X:Y,2,0)</f>
        <v>Financial items</v>
      </c>
    </row>
    <row r="57" spans="2:9" x14ac:dyDescent="0.2">
      <c r="B57" s="31" t="s">
        <v>150</v>
      </c>
      <c r="C57" s="32" t="str">
        <f>VLOOKUP(Database!$B57,'1.1 FY2016'!$B:G,2,0)</f>
        <v>Current taxes</v>
      </c>
      <c r="D57" s="33">
        <f>VLOOKUP(Database!$B57,'1.1 FY2016'!$B:H,3,0)</f>
        <v>111101</v>
      </c>
      <c r="E57" s="32" t="str">
        <f>VLOOKUP(Database!$B57,'1.1 FY2016'!$B:I,4,0)</f>
        <v>Not assigned</v>
      </c>
      <c r="F57" s="34">
        <f>-SUMIF('1.1 FY2016'!$B:$B,Database!$B57,'1.1 FY2016'!$F:$F)</f>
        <v>49378.641999999993</v>
      </c>
      <c r="G57" s="34">
        <f>-SUMIF('1.2 FY2017'!$B:$B,Database!$B57,'1.2 FY2017'!$F:$F)</f>
        <v>-496748.70000000007</v>
      </c>
      <c r="H57" s="34">
        <f>-SUMIF('1.3 FY2018'!$B:$B,Database!$B57,'1.3 FY2018'!$F:$F)</f>
        <v>-2558.1950000000002</v>
      </c>
      <c r="I57" s="35" t="str">
        <f>VLOOKUP($C57,'P&amp;L statement'!X:Y,2,0)</f>
        <v>Taxes</v>
      </c>
    </row>
    <row r="58" spans="2:9" x14ac:dyDescent="0.2">
      <c r="B58" s="31" t="s">
        <v>151</v>
      </c>
      <c r="C58" s="32" t="str">
        <f>VLOOKUP(Database!$B58,'1.1 FY2016'!$B:G,2,0)</f>
        <v>Regional taxes</v>
      </c>
      <c r="D58" s="33">
        <f>VLOOKUP(Database!$B58,'1.1 FY2016'!$B:H,3,0)</f>
        <v>111101</v>
      </c>
      <c r="E58" s="32" t="str">
        <f>VLOOKUP(Database!$B58,'1.1 FY2016'!$B:I,4,0)</f>
        <v>Not assigned</v>
      </c>
      <c r="F58" s="34">
        <f>-SUMIF('1.1 FY2016'!$B:$B,Database!$B58,'1.1 FY2016'!$F:$F)</f>
        <v>-516250.67</v>
      </c>
      <c r="G58" s="34">
        <f>-SUMIF('1.2 FY2017'!$B:$B,Database!$B58,'1.2 FY2017'!$F:$F)</f>
        <v>-480872.96000000002</v>
      </c>
      <c r="H58" s="34">
        <f>-SUMIF('1.3 FY2018'!$B:$B,Database!$B58,'1.3 FY2018'!$F:$F)</f>
        <v>-522710.353</v>
      </c>
      <c r="I58" s="35" t="str">
        <f>VLOOKUP($C58,'P&amp;L statement'!X:Y,2,0)</f>
        <v>Taxes</v>
      </c>
    </row>
    <row r="59" spans="2:9" x14ac:dyDescent="0.2">
      <c r="B59" s="31" t="s">
        <v>152</v>
      </c>
      <c r="C59" s="32" t="str">
        <f>VLOOKUP(Database!$B59,'1.1 FY2016'!$B:G,2,0)</f>
        <v>Deferred taxes</v>
      </c>
      <c r="D59" s="33">
        <f>VLOOKUP(Database!$B59,'1.1 FY2016'!$B:H,3,0)</f>
        <v>111101</v>
      </c>
      <c r="E59" s="32" t="str">
        <f>VLOOKUP(Database!$B59,'1.1 FY2016'!$B:I,4,0)</f>
        <v>Not assigned</v>
      </c>
      <c r="F59" s="34">
        <f>-SUMIF('1.1 FY2016'!$B:$B,Database!$B59,'1.1 FY2016'!$F:$F)</f>
        <v>-21593.093999999997</v>
      </c>
      <c r="G59" s="34">
        <f>-SUMIF('1.2 FY2017'!$B:$B,Database!$B59,'1.2 FY2017'!$F:$F)</f>
        <v>-6570.3050000000003</v>
      </c>
      <c r="H59" s="34">
        <f>-SUMIF('1.3 FY2018'!$B:$B,Database!$B59,'1.3 FY2018'!$F:$F)</f>
        <v>160303.52199999997</v>
      </c>
      <c r="I59" s="35" t="str">
        <f>VLOOKUP($C59,'P&amp;L statement'!X:Y,2,0)</f>
        <v>Taxes</v>
      </c>
    </row>
    <row r="60" spans="2:9" x14ac:dyDescent="0.2">
      <c r="B60" s="31" t="s">
        <v>153</v>
      </c>
      <c r="C60" s="32" t="str">
        <f>VLOOKUP(Database!$B60,'1.1 FY2016'!$B:G,2,0)</f>
        <v>Net income/(loss)</v>
      </c>
      <c r="D60" s="33">
        <f>VLOOKUP(Database!$B60,'1.1 FY2016'!$B:H,3,0)</f>
        <v>111101</v>
      </c>
      <c r="E60" s="32" t="str">
        <f>VLOOKUP(Database!$B60,'1.1 FY2016'!$B:I,4,0)</f>
        <v>Not assigned</v>
      </c>
      <c r="F60" s="34">
        <f>SUMIF('1.1 FY2016'!$B:$B,Database!$B60,'1.1 FY2016'!$F:$F)</f>
        <v>-2904117.9939999986</v>
      </c>
      <c r="G60" s="34">
        <f>SUMIF('1.2 FY2017'!$B:$B,Database!$B60,'1.2 FY2017'!$F:$F)</f>
        <v>0</v>
      </c>
      <c r="H60" s="34">
        <f>SUMIF('1.3 FY2018'!$B:$B,Database!$B60,'1.3 FY2018'!$F:$F)</f>
        <v>0</v>
      </c>
      <c r="I60" s="35" t="str">
        <f>VLOOKUP($C60,'P&amp;L statement'!X:Y,2,0)</f>
        <v>Net Income</v>
      </c>
    </row>
    <row r="61" spans="2:9" x14ac:dyDescent="0.2">
      <c r="B61" s="31" t="s">
        <v>154</v>
      </c>
      <c r="C61" s="32" t="str">
        <f>VLOOKUP($B61,'1.2 FY2017'!$B:E,2,0)</f>
        <v>Core business revenues</v>
      </c>
      <c r="D61" s="33">
        <f>VLOOKUP($B61,'1.2 FY2017'!$B:F,3,0)</f>
        <v>105</v>
      </c>
      <c r="E61" s="32" t="str">
        <f>VLOOKUP($B61,'1.2 FY2017'!$B:G,4,0)</f>
        <v>Generco Healthcare Ltd</v>
      </c>
      <c r="F61" s="34">
        <f>-SUMIF('1.1 FY2016'!$B:$B,Database!$B61,'1.1 FY2016'!$F:$F)</f>
        <v>0</v>
      </c>
      <c r="G61" s="34">
        <f>-SUMIF('1.2 FY2017'!$B:$B,Database!$B61,'1.2 FY2017'!$F:$F)</f>
        <v>355396.61499999999</v>
      </c>
      <c r="H61" s="34">
        <f>-SUMIF('1.3 FY2018'!$B:$B,Database!$B61,'1.3 FY2018'!$F:$F)</f>
        <v>616462.01899999997</v>
      </c>
      <c r="I61" s="35" t="str">
        <f>VLOOKUP($C61,'P&amp;L statement'!X:Y,2,0)</f>
        <v>Net Sales</v>
      </c>
    </row>
    <row r="62" spans="2:9" x14ac:dyDescent="0.2">
      <c r="B62" s="31" t="s">
        <v>155</v>
      </c>
      <c r="C62" s="32" t="str">
        <f>VLOOKUP($B62,'1.2 FY2017'!$B:E,2,0)</f>
        <v>Capitalized costs</v>
      </c>
      <c r="D62" s="33" t="str">
        <f>VLOOKUP($B62,'1.2 FY2017'!$B:F,3,0)</f>
        <v>1086</v>
      </c>
      <c r="E62" s="32" t="str">
        <f>VLOOKUP($B62,'1.2 FY2017'!$B:G,4,0)</f>
        <v>G&amp;Resources Ltd</v>
      </c>
      <c r="F62" s="34">
        <f>-SUMIF('1.1 FY2016'!$B:$B,Database!$B62,'1.1 FY2016'!$F:$F)</f>
        <v>0</v>
      </c>
      <c r="G62" s="34">
        <f>-SUMIF('1.2 FY2017'!$B:$B,Database!$B62,'1.2 FY2017'!$F:$F)</f>
        <v>420017.14999999997</v>
      </c>
      <c r="H62" s="34">
        <f>-SUMIF('1.3 FY2018'!$B:$B,Database!$B62,'1.3 FY2018'!$F:$F)</f>
        <v>0</v>
      </c>
      <c r="I62" s="35" t="str">
        <f>VLOOKUP($C62,'P&amp;L statement'!X:Y,2,0)</f>
        <v>Capitalized costs</v>
      </c>
    </row>
    <row r="63" spans="2:9" x14ac:dyDescent="0.2">
      <c r="B63" s="31" t="s">
        <v>156</v>
      </c>
      <c r="C63" s="32" t="str">
        <f>VLOOKUP($B63,'1.2 FY2017'!$B:E,2,0)</f>
        <v>Utility charges</v>
      </c>
      <c r="D63" s="33">
        <f>VLOOKUP($B63,'1.2 FY2017'!$B:F,3,0)</f>
        <v>111111</v>
      </c>
      <c r="E63" s="32" t="str">
        <f>VLOOKUP($B63,'1.2 FY2017'!$B:G,4,0)</f>
        <v>External</v>
      </c>
      <c r="F63" s="34">
        <f>-SUMIF('1.1 FY2016'!$B:$B,Database!$B63,'1.1 FY2016'!$F:$F)</f>
        <v>0</v>
      </c>
      <c r="G63" s="34">
        <f>-SUMIF('1.2 FY2017'!$B:$B,Database!$B63,'1.2 FY2017'!$F:$F)</f>
        <v>-14589.33</v>
      </c>
      <c r="H63" s="34">
        <f>-SUMIF('1.3 FY2018'!$B:$B,Database!$B63,'1.3 FY2018'!$F:$F)</f>
        <v>-20504.509999999998</v>
      </c>
      <c r="I63" s="35" t="str">
        <f>VLOOKUP($C63,'P&amp;L statement'!X:Y,2,0)</f>
        <v>Other operating expenses</v>
      </c>
    </row>
    <row r="64" spans="2:9" x14ac:dyDescent="0.2">
      <c r="B64" s="31" t="s">
        <v>157</v>
      </c>
      <c r="C64" s="32" t="str">
        <f>VLOOKUP($B64,'1.2 FY2017'!$B:E,2,0)</f>
        <v>R&amp;D expenses</v>
      </c>
      <c r="D64" s="33">
        <f>VLOOKUP($B64,'1.2 FY2017'!$B:F,3,0)</f>
        <v>19</v>
      </c>
      <c r="E64" s="32" t="str">
        <f>VLOOKUP($B64,'1.2 FY2017'!$B:G,4,0)</f>
        <v>Generco Cosmetics Ltd</v>
      </c>
      <c r="F64" s="34">
        <f>-SUMIF('1.1 FY2016'!$B:$B,Database!$B64,'1.1 FY2016'!$F:$F)</f>
        <v>0</v>
      </c>
      <c r="G64" s="34">
        <f>-SUMIF('1.2 FY2017'!$B:$B,Database!$B64,'1.2 FY2017'!$F:$F)</f>
        <v>-38521</v>
      </c>
      <c r="H64" s="34">
        <f>-SUMIF('1.3 FY2018'!$B:$B,Database!$B64,'1.3 FY2018'!$F:$F)</f>
        <v>0</v>
      </c>
      <c r="I64" s="35" t="str">
        <f>VLOOKUP($C64,'P&amp;L statement'!X:Y,2,0)</f>
        <v>Other operating expenses</v>
      </c>
    </row>
    <row r="65" spans="2:9" x14ac:dyDescent="0.2">
      <c r="B65" s="31" t="s">
        <v>158</v>
      </c>
      <c r="C65" s="32" t="str">
        <f>VLOOKUP($B65,'1.2 FY2017'!$B:E,2,0)</f>
        <v>R&amp;D expenses</v>
      </c>
      <c r="D65" s="33" t="str">
        <f>VLOOKUP($B65,'1.2 FY2017'!$B:F,3,0)</f>
        <v>1283</v>
      </c>
      <c r="E65" s="32" t="str">
        <f>VLOOKUP($B65,'1.2 FY2017'!$B:G,4,0)</f>
        <v>Generco Ventures Ltd</v>
      </c>
      <c r="F65" s="34">
        <f>-SUMIF('1.1 FY2016'!$B:$B,Database!$B65,'1.1 FY2016'!$F:$F)</f>
        <v>0</v>
      </c>
      <c r="G65" s="34">
        <f>-SUMIF('1.2 FY2017'!$B:$B,Database!$B65,'1.2 FY2017'!$F:$F)</f>
        <v>-1820</v>
      </c>
      <c r="H65" s="34">
        <f>-SUMIF('1.3 FY2018'!$B:$B,Database!$B65,'1.3 FY2018'!$F:$F)</f>
        <v>0</v>
      </c>
      <c r="I65" s="35" t="str">
        <f>VLOOKUP($C65,'P&amp;L statement'!X:Y,2,0)</f>
        <v>Other operating expenses</v>
      </c>
    </row>
    <row r="66" spans="2:9" x14ac:dyDescent="0.2">
      <c r="B66" s="31" t="s">
        <v>159</v>
      </c>
      <c r="C66" s="32" t="str">
        <f>VLOOKUP($B66,'1.2 FY2017'!$B:E,2,0)</f>
        <v>R&amp;D expenses</v>
      </c>
      <c r="D66" s="33" t="str">
        <f>VLOOKUP($B66,'1.2 FY2017'!$B:F,3,0)</f>
        <v>1924</v>
      </c>
      <c r="E66" s="32" t="str">
        <f>VLOOKUP($B66,'1.2 FY2017'!$B:G,4,0)</f>
        <v>Generco Infrastructure Ltd</v>
      </c>
      <c r="F66" s="34">
        <f>-SUMIF('1.1 FY2016'!$B:$B,Database!$B66,'1.1 FY2016'!$F:$F)</f>
        <v>0</v>
      </c>
      <c r="G66" s="34">
        <f>-SUMIF('1.2 FY2017'!$B:$B,Database!$B66,'1.2 FY2017'!$F:$F)</f>
        <v>-10448.129999999999</v>
      </c>
      <c r="H66" s="34">
        <f>-SUMIF('1.3 FY2018'!$B:$B,Database!$B66,'1.3 FY2018'!$F:$F)</f>
        <v>-673.34299999999985</v>
      </c>
      <c r="I66" s="35" t="str">
        <f>VLOOKUP($C66,'P&amp;L statement'!X:Y,2,0)</f>
        <v>Other operating expenses</v>
      </c>
    </row>
    <row r="67" spans="2:9" x14ac:dyDescent="0.2">
      <c r="B67" s="31" t="s">
        <v>160</v>
      </c>
      <c r="C67" s="32" t="str">
        <f>VLOOKUP($B67,'1.2 FY2017'!$B:E,2,0)</f>
        <v>R&amp;D expenses</v>
      </c>
      <c r="D67" s="33" t="str">
        <f>VLOOKUP($B67,'1.2 FY2017'!$B:F,3,0)</f>
        <v>2486</v>
      </c>
      <c r="E67" s="32" t="str">
        <f>VLOOKUP($B67,'1.2 FY2017'!$B:G,4,0)</f>
        <v>Generco Exloration Ltd</v>
      </c>
      <c r="F67" s="34">
        <f>-SUMIF('1.1 FY2016'!$B:$B,Database!$B67,'1.1 FY2016'!$F:$F)</f>
        <v>0</v>
      </c>
      <c r="G67" s="34">
        <f>-SUMIF('1.2 FY2017'!$B:$B,Database!$B67,'1.2 FY2017'!$F:$F)</f>
        <v>-10412.5</v>
      </c>
      <c r="H67" s="34">
        <f>-SUMIF('1.3 FY2018'!$B:$B,Database!$B67,'1.3 FY2018'!$F:$F)</f>
        <v>0</v>
      </c>
      <c r="I67" s="35" t="str">
        <f>VLOOKUP($C67,'P&amp;L statement'!X:Y,2,0)</f>
        <v>Other operating expenses</v>
      </c>
    </row>
    <row r="68" spans="2:9" x14ac:dyDescent="0.2">
      <c r="B68" s="31" t="s">
        <v>161</v>
      </c>
      <c r="C68" s="32" t="str">
        <f>VLOOKUP($B68,'1.2 FY2017'!$B:E,2,0)</f>
        <v>Other personnel expenses</v>
      </c>
      <c r="D68" s="33">
        <f>VLOOKUP($B68,'1.2 FY2017'!$B:F,3,0)</f>
        <v>111101</v>
      </c>
      <c r="E68" s="32" t="str">
        <f>VLOOKUP($B68,'1.2 FY2017'!$B:G,4,0)</f>
        <v>Not assigned</v>
      </c>
      <c r="F68" s="34">
        <f>-SUMIF('1.1 FY2016'!$B:$B,Database!$B68,'1.1 FY2016'!$F:$F)</f>
        <v>0</v>
      </c>
      <c r="G68" s="34">
        <f>-SUMIF('1.2 FY2017'!$B:$B,Database!$B68,'1.2 FY2017'!$F:$F)</f>
        <v>-6919.8499999999995</v>
      </c>
      <c r="H68" s="34">
        <f>-SUMIF('1.3 FY2018'!$B:$B,Database!$B68,'1.3 FY2018'!$F:$F)</f>
        <v>0</v>
      </c>
      <c r="I68" s="35" t="str">
        <f>VLOOKUP($C68,'P&amp;L statement'!X:Y,2,0)</f>
        <v>Personnel expenses</v>
      </c>
    </row>
    <row r="69" spans="2:9" x14ac:dyDescent="0.2">
      <c r="B69" s="31" t="s">
        <v>162</v>
      </c>
      <c r="C69" s="32" t="str">
        <f>VLOOKUP($B69,'1.2 FY2017'!$B:E,2,0)</f>
        <v>D&amp;A</v>
      </c>
      <c r="D69" s="33">
        <f>VLOOKUP($B69,'1.2 FY2017'!$B:F,3,0)</f>
        <v>111101</v>
      </c>
      <c r="E69" s="32" t="str">
        <f>VLOOKUP($B69,'1.2 FY2017'!$B:G,4,0)</f>
        <v>Not assigned</v>
      </c>
      <c r="F69" s="34">
        <f>-SUMIF('1.1 FY2016'!$B:$B,Database!$B69,'1.1 FY2016'!$F:$F)</f>
        <v>0</v>
      </c>
      <c r="G69" s="34">
        <f>-SUMIF('1.2 FY2017'!$B:$B,Database!$B69,'1.2 FY2017'!$F:$F)</f>
        <v>-146328.94499999998</v>
      </c>
      <c r="H69" s="34">
        <f>-SUMIF('1.3 FY2018'!$B:$B,Database!$B69,'1.3 FY2018'!$F:$F)</f>
        <v>-12593.355</v>
      </c>
      <c r="I69" s="35" t="str">
        <f>VLOOKUP($C69,'P&amp;L statement'!X:Y,2,0)</f>
        <v>D&amp;A</v>
      </c>
    </row>
    <row r="70" spans="2:9" x14ac:dyDescent="0.2">
      <c r="B70" s="31" t="s">
        <v>163</v>
      </c>
      <c r="C70" s="32" t="str">
        <f>VLOOKUP($B70,'1.2 FY2017'!$B:E,2,0)</f>
        <v>Gains from disposal of PP&amp;E</v>
      </c>
      <c r="D70" s="33">
        <f>VLOOKUP($B70,'1.2 FY2017'!$B:F,3,0)</f>
        <v>111111</v>
      </c>
      <c r="E70" s="32" t="str">
        <f>VLOOKUP($B70,'1.2 FY2017'!$B:G,4,0)</f>
        <v>External</v>
      </c>
      <c r="F70" s="34">
        <f>-SUMIF('1.1 FY2016'!$B:$B,Database!$B70,'1.1 FY2016'!$F:$F)</f>
        <v>0</v>
      </c>
      <c r="G70" s="34">
        <f>-SUMIF('1.2 FY2017'!$B:$B,Database!$B70,'1.2 FY2017'!$F:$F)</f>
        <v>121553.07499999998</v>
      </c>
      <c r="H70" s="34">
        <f>-SUMIF('1.3 FY2018'!$B:$B,Database!$B70,'1.3 FY2018'!$F:$F)</f>
        <v>0</v>
      </c>
      <c r="I70" s="35" t="str">
        <f>VLOOKUP($C70,'P&amp;L statement'!X:Y,2,0)</f>
        <v>Extraordinary items</v>
      </c>
    </row>
    <row r="71" spans="2:9" x14ac:dyDescent="0.2">
      <c r="B71" s="31" t="s">
        <v>164</v>
      </c>
      <c r="C71" s="32" t="str">
        <f>VLOOKUP($B71,'1.2 FY2017'!$B:E,2,0)</f>
        <v>Corporate recharges</v>
      </c>
      <c r="D71" s="33">
        <f>VLOOKUP($B71,'1.2 FY2017'!$B:F,3,0)</f>
        <v>19</v>
      </c>
      <c r="E71" s="32" t="str">
        <f>VLOOKUP($B71,'1.2 FY2017'!$B:G,4,0)</f>
        <v>Generco Cosmetics Ltd</v>
      </c>
      <c r="F71" s="34">
        <f>-SUMIF('1.1 FY2016'!$B:$B,Database!$B71,'1.1 FY2016'!$F:$F)</f>
        <v>0</v>
      </c>
      <c r="G71" s="34">
        <f>-SUMIF('1.2 FY2017'!$B:$B,Database!$B71,'1.2 FY2017'!$F:$F)</f>
        <v>416278.66</v>
      </c>
      <c r="H71" s="34">
        <f>-SUMIF('1.3 FY2018'!$B:$B,Database!$B71,'1.3 FY2018'!$F:$F)</f>
        <v>622966.38600000006</v>
      </c>
      <c r="I71" s="35" t="str">
        <f>VLOOKUP($C71,'P&amp;L statement'!X:Y,2,0)</f>
        <v>Recharges</v>
      </c>
    </row>
    <row r="72" spans="2:9" x14ac:dyDescent="0.2">
      <c r="B72" s="31" t="s">
        <v>165</v>
      </c>
      <c r="C72" s="32" t="str">
        <f>VLOOKUP($B72,'1.2 FY2017'!$B:E,2,0)</f>
        <v>Corporate recharges</v>
      </c>
      <c r="D72" s="33" t="str">
        <f>VLOOKUP($B72,'1.2 FY2017'!$B:F,3,0)</f>
        <v>1076</v>
      </c>
      <c r="E72" s="32" t="str">
        <f>VLOOKUP($B72,'1.2 FY2017'!$B:G,4,0)</f>
        <v>Generco Trading Ltd</v>
      </c>
      <c r="F72" s="34">
        <f>-SUMIF('1.1 FY2016'!$B:$B,Database!$B72,'1.1 FY2016'!$F:$F)</f>
        <v>0</v>
      </c>
      <c r="G72" s="34">
        <f>-SUMIF('1.2 FY2017'!$B:$B,Database!$B72,'1.2 FY2017'!$F:$F)</f>
        <v>364243.84499999997</v>
      </c>
      <c r="H72" s="34">
        <f>-SUMIF('1.3 FY2018'!$B:$B,Database!$B72,'1.3 FY2018'!$F:$F)</f>
        <v>0</v>
      </c>
      <c r="I72" s="35" t="str">
        <f>VLOOKUP($C72,'P&amp;L statement'!X:Y,2,0)</f>
        <v>Recharges</v>
      </c>
    </row>
    <row r="73" spans="2:9" x14ac:dyDescent="0.2">
      <c r="B73" s="31" t="s">
        <v>166</v>
      </c>
      <c r="C73" s="32" t="str">
        <f>VLOOKUP($B73,'1.2 FY2017'!$B:E,2,0)</f>
        <v>Corporate recharges</v>
      </c>
      <c r="D73" s="33" t="str">
        <f>VLOOKUP($B73,'1.2 FY2017'!$B:F,3,0)</f>
        <v>1086</v>
      </c>
      <c r="E73" s="32" t="str">
        <f>VLOOKUP($B73,'1.2 FY2017'!$B:G,4,0)</f>
        <v>G&amp;Resources Ltd</v>
      </c>
      <c r="F73" s="34">
        <f>-SUMIF('1.1 FY2016'!$B:$B,Database!$B73,'1.1 FY2016'!$F:$F)</f>
        <v>0</v>
      </c>
      <c r="G73" s="34">
        <f>-SUMIF('1.2 FY2017'!$B:$B,Database!$B73,'1.2 FY2017'!$F:$F)</f>
        <v>0</v>
      </c>
      <c r="H73" s="34">
        <f>-SUMIF('1.3 FY2018'!$B:$B,Database!$B73,'1.3 FY2018'!$F:$F)</f>
        <v>0</v>
      </c>
      <c r="I73" s="35" t="str">
        <f>VLOOKUP($C73,'P&amp;L statement'!X:Y,2,0)</f>
        <v>Recharges</v>
      </c>
    </row>
    <row r="74" spans="2:9" x14ac:dyDescent="0.2">
      <c r="B74" s="31" t="s">
        <v>167</v>
      </c>
      <c r="C74" s="32" t="str">
        <f>VLOOKUP($B74,'1.2 FY2017'!$B:E,2,0)</f>
        <v>Corporate recharges</v>
      </c>
      <c r="D74" s="33" t="str">
        <f>VLOOKUP($B74,'1.2 FY2017'!$B:F,3,0)</f>
        <v>47037</v>
      </c>
      <c r="E74" s="32" t="str">
        <f>VLOOKUP($B74,'1.2 FY2017'!$B:G,4,0)</f>
        <v>G&amp;CR Global Ltd</v>
      </c>
      <c r="F74" s="34">
        <f>-SUMIF('1.1 FY2016'!$B:$B,Database!$B74,'1.1 FY2016'!$F:$F)</f>
        <v>0</v>
      </c>
      <c r="G74" s="34">
        <f>-SUMIF('1.2 FY2017'!$B:$B,Database!$B74,'1.2 FY2017'!$F:$F)</f>
        <v>482611.04499999998</v>
      </c>
      <c r="H74" s="34">
        <f>-SUMIF('1.3 FY2018'!$B:$B,Database!$B74,'1.3 FY2018'!$F:$F)</f>
        <v>1948832.1429999999</v>
      </c>
      <c r="I74" s="35" t="str">
        <f>VLOOKUP($C74,'P&amp;L statement'!X:Y,2,0)</f>
        <v>Recharges</v>
      </c>
    </row>
    <row r="75" spans="2:9" x14ac:dyDescent="0.2">
      <c r="B75" s="31" t="s">
        <v>168</v>
      </c>
      <c r="C75" s="32" t="str">
        <f>VLOOKUP($B75,'1.2 FY2017'!$B:E,2,0)</f>
        <v>Other income</v>
      </c>
      <c r="D75" s="33">
        <f>VLOOKUP($B75,'1.2 FY2017'!$B:F,3,0)</f>
        <v>88</v>
      </c>
      <c r="E75" s="32" t="str">
        <f>VLOOKUP($B75,'1.2 FY2017'!$B:G,4,0)</f>
        <v>Generco Ltd</v>
      </c>
      <c r="F75" s="34">
        <f>-SUMIF('1.1 FY2016'!$B:$B,Database!$B75,'1.1 FY2016'!$F:$F)</f>
        <v>0</v>
      </c>
      <c r="G75" s="34">
        <f>-SUMIF('1.2 FY2017'!$B:$B,Database!$B75,'1.2 FY2017'!$F:$F)</f>
        <v>2436.35</v>
      </c>
      <c r="H75" s="34">
        <f>-SUMIF('1.3 FY2018'!$B:$B,Database!$B75,'1.3 FY2018'!$F:$F)</f>
        <v>0</v>
      </c>
      <c r="I75" s="35" t="str">
        <f>VLOOKUP($C75,'P&amp;L statement'!X:Y,2,0)</f>
        <v>Other income</v>
      </c>
    </row>
    <row r="76" spans="2:9" x14ac:dyDescent="0.2">
      <c r="B76" s="31" t="s">
        <v>169</v>
      </c>
      <c r="C76" s="32" t="str">
        <f>VLOOKUP($B76,'1.2 FY2017'!$B:E,2,0)</f>
        <v>Concession fees other</v>
      </c>
      <c r="D76" s="33">
        <f>VLOOKUP($B76,'1.2 FY2017'!$B:F,3,0)</f>
        <v>111101</v>
      </c>
      <c r="E76" s="32" t="str">
        <f>VLOOKUP($B76,'1.2 FY2017'!$B:G,4,0)</f>
        <v>Not assigned</v>
      </c>
      <c r="F76" s="34">
        <f>-SUMIF('1.1 FY2016'!$B:$B,Database!$B76,'1.1 FY2016'!$F:$F)</f>
        <v>0</v>
      </c>
      <c r="G76" s="34">
        <f>-SUMIF('1.2 FY2017'!$B:$B,Database!$B76,'1.2 FY2017'!$F:$F)</f>
        <v>-81.339999999999989</v>
      </c>
      <c r="H76" s="34">
        <f>-SUMIF('1.3 FY2018'!$B:$B,Database!$B76,'1.3 FY2018'!$F:$F)</f>
        <v>0</v>
      </c>
      <c r="I76" s="35" t="str">
        <f>VLOOKUP($C76,'P&amp;L statement'!X:Y,2,0)</f>
        <v>Other operating expenses</v>
      </c>
    </row>
    <row r="77" spans="2:9" x14ac:dyDescent="0.2">
      <c r="B77" s="31" t="s">
        <v>170</v>
      </c>
      <c r="C77" s="32" t="str">
        <f>VLOOKUP($B77,'1.2 FY2017'!$B:E,2,0)</f>
        <v>Service expenses</v>
      </c>
      <c r="D77" s="33">
        <f>VLOOKUP($B77,'1.2 FY2017'!$B:F,3,0)</f>
        <v>105</v>
      </c>
      <c r="E77" s="32" t="str">
        <f>VLOOKUP($B77,'1.2 FY2017'!$B:G,4,0)</f>
        <v>Generco Healthcare Ltd</v>
      </c>
      <c r="F77" s="34">
        <f>-SUMIF('1.1 FY2016'!$B:$B,Database!$B77,'1.1 FY2016'!$F:$F)</f>
        <v>0</v>
      </c>
      <c r="G77" s="34">
        <f>-SUMIF('1.2 FY2017'!$B:$B,Database!$B77,'1.2 FY2017'!$F:$F)</f>
        <v>-276920</v>
      </c>
      <c r="H77" s="34">
        <f>-SUMIF('1.3 FY2018'!$B:$B,Database!$B77,'1.3 FY2018'!$F:$F)</f>
        <v>-473575.46100000001</v>
      </c>
      <c r="I77" s="35" t="str">
        <f>VLOOKUP($C77,'P&amp;L statement'!X:Y,2,0)</f>
        <v>Services</v>
      </c>
    </row>
    <row r="78" spans="2:9" x14ac:dyDescent="0.2">
      <c r="B78" s="31" t="s">
        <v>171</v>
      </c>
      <c r="C78" s="32" t="str">
        <f>VLOOKUP($B78,'1.2 FY2017'!$B:E,2,0)</f>
        <v>Insurance expenses</v>
      </c>
      <c r="D78" s="33">
        <f>VLOOKUP($B78,'1.2 FY2017'!$B:F,3,0)</f>
        <v>1900</v>
      </c>
      <c r="E78" s="32" t="str">
        <f>VLOOKUP($B78,'1.2 FY2017'!$B:G,4,0)</f>
        <v>Generco Metals Gm</v>
      </c>
      <c r="F78" s="34">
        <f>-SUMIF('1.1 FY2016'!$B:$B,Database!$B78,'1.1 FY2016'!$F:$F)</f>
        <v>0</v>
      </c>
      <c r="G78" s="34">
        <f>-SUMIF('1.2 FY2017'!$B:$B,Database!$B78,'1.2 FY2017'!$F:$F)</f>
        <v>0</v>
      </c>
      <c r="H78" s="34">
        <f>-SUMIF('1.3 FY2018'!$B:$B,Database!$B78,'1.3 FY2018'!$F:$F)</f>
        <v>0</v>
      </c>
      <c r="I78" s="35" t="str">
        <f>VLOOKUP($C78,'P&amp;L statement'!X:Y,2,0)</f>
        <v>Other operating expenses</v>
      </c>
    </row>
    <row r="79" spans="2:9" x14ac:dyDescent="0.2">
      <c r="B79" s="31" t="s">
        <v>172</v>
      </c>
      <c r="C79" s="32" t="str">
        <f>VLOOKUP($B79,'1.2 FY2017'!$B:E,2,0)</f>
        <v>Travel expenses</v>
      </c>
      <c r="D79" s="33" t="str">
        <f>VLOOKUP($B79,'1.2 FY2017'!$B:F,3,0)</f>
        <v>1118</v>
      </c>
      <c r="E79" s="32" t="str">
        <f>VLOOKUP($B79,'1.2 FY2017'!$B:G,4,0)</f>
        <v>Gener Green LLC</v>
      </c>
      <c r="F79" s="34">
        <f>-SUMIF('1.1 FY2016'!$B:$B,Database!$B79,'1.1 FY2016'!$F:$F)</f>
        <v>0</v>
      </c>
      <c r="G79" s="34">
        <f>-SUMIF('1.2 FY2017'!$B:$B,Database!$B79,'1.2 FY2017'!$F:$F)</f>
        <v>-23928.799999999999</v>
      </c>
      <c r="H79" s="34">
        <f>-SUMIF('1.3 FY2018'!$B:$B,Database!$B79,'1.3 FY2018'!$F:$F)</f>
        <v>0</v>
      </c>
      <c r="I79" s="35" t="str">
        <f>VLOOKUP($C79,'P&amp;L statement'!X:Y,2,0)</f>
        <v>Travel costs</v>
      </c>
    </row>
    <row r="80" spans="2:9" x14ac:dyDescent="0.2">
      <c r="B80" s="31" t="s">
        <v>173</v>
      </c>
      <c r="C80" s="32" t="str">
        <f>VLOOKUP($B80,'1.2 FY2017'!$B:E,2,0)</f>
        <v>Losses fr disposal of PPE</v>
      </c>
      <c r="D80" s="33">
        <f>VLOOKUP($B80,'1.2 FY2017'!$B:F,3,0)</f>
        <v>111111</v>
      </c>
      <c r="E80" s="32" t="str">
        <f>VLOOKUP($B80,'1.2 FY2017'!$B:G,4,0)</f>
        <v>External</v>
      </c>
      <c r="F80" s="34">
        <f>-SUMIF('1.1 FY2016'!$B:$B,Database!$B80,'1.1 FY2016'!$F:$F)</f>
        <v>0</v>
      </c>
      <c r="G80" s="34">
        <f>-SUMIF('1.2 FY2017'!$B:$B,Database!$B80,'1.2 FY2017'!$F:$F)</f>
        <v>-308232</v>
      </c>
      <c r="H80" s="34">
        <f>-SUMIF('1.3 FY2018'!$B:$B,Database!$B80,'1.3 FY2018'!$F:$F)</f>
        <v>0</v>
      </c>
      <c r="I80" s="35" t="str">
        <f>VLOOKUP($C80,'P&amp;L statement'!X:Y,2,0)</f>
        <v>Extraordinary items</v>
      </c>
    </row>
    <row r="81" spans="2:9" x14ac:dyDescent="0.2">
      <c r="B81" s="31" t="s">
        <v>174</v>
      </c>
      <c r="C81" s="32" t="str">
        <f>VLOOKUP($B81,'1.2 FY2017'!$B:E,2,0)</f>
        <v>Other operative currency differences</v>
      </c>
      <c r="D81" s="33">
        <f>VLOOKUP($B81,'1.2 FY2017'!$B:F,3,0)</f>
        <v>19</v>
      </c>
      <c r="E81" s="32" t="str">
        <f>VLOOKUP($B81,'1.2 FY2017'!$B:G,4,0)</f>
        <v>Generco Cosmetics Ltd</v>
      </c>
      <c r="F81" s="34">
        <f>-SUMIF('1.1 FY2016'!$B:$B,Database!$B81,'1.1 FY2016'!$F:$F)</f>
        <v>0</v>
      </c>
      <c r="G81" s="34">
        <f>-SUMIF('1.2 FY2017'!$B:$B,Database!$B81,'1.2 FY2017'!$F:$F)</f>
        <v>-13422.779999999999</v>
      </c>
      <c r="H81" s="34">
        <f>-SUMIF('1.3 FY2018'!$B:$B,Database!$B81,'1.3 FY2018'!$F:$F)</f>
        <v>0</v>
      </c>
      <c r="I81" s="35" t="str">
        <f>VLOOKUP($C81,'P&amp;L statement'!X:Y,2,0)</f>
        <v>Other operating expenses</v>
      </c>
    </row>
    <row r="82" spans="2:9" x14ac:dyDescent="0.2">
      <c r="B82" s="31" t="s">
        <v>175</v>
      </c>
      <c r="C82" s="32" t="str">
        <f>VLOOKUP($B82,'1.2 FY2017'!$B:E,2,0)</f>
        <v>Other operative currency differences</v>
      </c>
      <c r="D82" s="33">
        <f>VLOOKUP($B82,'1.2 FY2017'!$B:F,3,0)</f>
        <v>111111</v>
      </c>
      <c r="E82" s="32" t="str">
        <f>VLOOKUP($B82,'1.2 FY2017'!$B:G,4,0)</f>
        <v>External</v>
      </c>
      <c r="F82" s="34">
        <f>-SUMIF('1.1 FY2016'!$B:$B,Database!$B82,'1.1 FY2016'!$F:$F)</f>
        <v>0</v>
      </c>
      <c r="G82" s="34">
        <f>-SUMIF('1.2 FY2017'!$B:$B,Database!$B82,'1.2 FY2017'!$F:$F)</f>
        <v>-4045.6150000000002</v>
      </c>
      <c r="H82" s="34">
        <f>-SUMIF('1.3 FY2018'!$B:$B,Database!$B82,'1.3 FY2018'!$F:$F)</f>
        <v>0</v>
      </c>
      <c r="I82" s="35" t="str">
        <f>VLOOKUP($C82,'P&amp;L statement'!X:Y,2,0)</f>
        <v>Other operating expenses</v>
      </c>
    </row>
    <row r="83" spans="2:9" x14ac:dyDescent="0.2">
      <c r="B83" s="31" t="s">
        <v>176</v>
      </c>
      <c r="C83" s="32" t="str">
        <f>VLOOKUP($B83,'1.2 FY2017'!$B:E,2,0)</f>
        <v>Property tax</v>
      </c>
      <c r="D83" s="33">
        <f>VLOOKUP($B83,'1.2 FY2017'!$B:F,3,0)</f>
        <v>111111</v>
      </c>
      <c r="E83" s="32" t="str">
        <f>VLOOKUP($B83,'1.2 FY2017'!$B:G,4,0)</f>
        <v>External</v>
      </c>
      <c r="F83" s="34">
        <f>-SUMIF('1.1 FY2016'!$B:$B,Database!$B83,'1.1 FY2016'!$F:$F)</f>
        <v>0</v>
      </c>
      <c r="G83" s="34">
        <f>-SUMIF('1.2 FY2017'!$B:$B,Database!$B83,'1.2 FY2017'!$F:$F)</f>
        <v>-49621.144999999997</v>
      </c>
      <c r="H83" s="34">
        <f>-SUMIF('1.3 FY2018'!$B:$B,Database!$B83,'1.3 FY2018'!$F:$F)</f>
        <v>0</v>
      </c>
      <c r="I83" s="35" t="str">
        <f>VLOOKUP($C83,'P&amp;L statement'!X:Y,2,0)</f>
        <v>Other operating expenses</v>
      </c>
    </row>
    <row r="84" spans="2:9" x14ac:dyDescent="0.2">
      <c r="B84" s="31" t="s">
        <v>177</v>
      </c>
      <c r="C84" s="32" t="str">
        <f>VLOOKUP($B84,'1.2 FY2017'!$B:E,2,0)</f>
        <v>Misc extraordinary expenses</v>
      </c>
      <c r="D84" s="33">
        <f>VLOOKUP($B84,'1.2 FY2017'!$B:F,3,0)</f>
        <v>19</v>
      </c>
      <c r="E84" s="32" t="str">
        <f>VLOOKUP($B84,'1.2 FY2017'!$B:G,4,0)</f>
        <v>Generco Cosmetics Ltd</v>
      </c>
      <c r="F84" s="34">
        <f>-SUMIF('1.1 FY2016'!$B:$B,Database!$B84,'1.1 FY2016'!$F:$F)</f>
        <v>0</v>
      </c>
      <c r="G84" s="34">
        <f>-SUMIF('1.2 FY2017'!$B:$B,Database!$B84,'1.2 FY2017'!$F:$F)</f>
        <v>-85462.684999999998</v>
      </c>
      <c r="H84" s="34">
        <f>-SUMIF('1.3 FY2018'!$B:$B,Database!$B84,'1.3 FY2018'!$F:$F)</f>
        <v>0</v>
      </c>
      <c r="I84" s="35" t="str">
        <f>VLOOKUP($C84,'P&amp;L statement'!X:Y,2,0)</f>
        <v>Other operating expenses</v>
      </c>
    </row>
    <row r="85" spans="2:9" x14ac:dyDescent="0.2">
      <c r="B85" s="31" t="s">
        <v>178</v>
      </c>
      <c r="C85" s="32" t="str">
        <f>VLOOKUP($B85,'1.2 FY2017'!$B:E,2,0)</f>
        <v>Misc extraordinary expenses</v>
      </c>
      <c r="D85" s="33" t="str">
        <f>VLOOKUP($B85,'1.2 FY2017'!$B:F,3,0)</f>
        <v>43</v>
      </c>
      <c r="E85" s="32" t="str">
        <f>VLOOKUP($B85,'1.2 FY2017'!$B:G,4,0)</f>
        <v>Greeny France SL</v>
      </c>
      <c r="F85" s="34">
        <f>-SUMIF('1.1 FY2016'!$B:$B,Database!$B85,'1.1 FY2016'!$F:$F)</f>
        <v>0</v>
      </c>
      <c r="G85" s="34">
        <f>-SUMIF('1.2 FY2017'!$B:$B,Database!$B85,'1.2 FY2017'!$F:$F)</f>
        <v>-11422.144999999999</v>
      </c>
      <c r="H85" s="34">
        <f>-SUMIF('1.3 FY2018'!$B:$B,Database!$B85,'1.3 FY2018'!$F:$F)</f>
        <v>0</v>
      </c>
      <c r="I85" s="35" t="str">
        <f>VLOOKUP($C85,'P&amp;L statement'!X:Y,2,0)</f>
        <v>Other operating expenses</v>
      </c>
    </row>
    <row r="86" spans="2:9" x14ac:dyDescent="0.2">
      <c r="B86" s="31" t="s">
        <v>179</v>
      </c>
      <c r="C86" s="32" t="str">
        <f>VLOOKUP($B86,'1.2 FY2017'!$B:E,2,0)</f>
        <v>Misc extraordinary expenses</v>
      </c>
      <c r="D86" s="33" t="str">
        <f>VLOOKUP($B86,'1.2 FY2017'!$B:F,3,0)</f>
        <v>1924</v>
      </c>
      <c r="E86" s="32" t="str">
        <f>VLOOKUP($B86,'1.2 FY2017'!$B:G,4,0)</f>
        <v>Generco Infrastructure Ltd</v>
      </c>
      <c r="F86" s="34">
        <f>-SUMIF('1.1 FY2016'!$B:$B,Database!$B86,'1.1 FY2016'!$F:$F)</f>
        <v>0</v>
      </c>
      <c r="G86" s="34">
        <f>-SUMIF('1.2 FY2017'!$B:$B,Database!$B86,'1.2 FY2017'!$F:$F)</f>
        <v>-84438.864999999991</v>
      </c>
      <c r="H86" s="34">
        <f>-SUMIF('1.3 FY2018'!$B:$B,Database!$B86,'1.3 FY2018'!$F:$F)</f>
        <v>0</v>
      </c>
      <c r="I86" s="35" t="str">
        <f>VLOOKUP($C86,'P&amp;L statement'!X:Y,2,0)</f>
        <v>Other operating expenses</v>
      </c>
    </row>
    <row r="87" spans="2:9" x14ac:dyDescent="0.2">
      <c r="B87" s="31" t="s">
        <v>180</v>
      </c>
      <c r="C87" s="32" t="str">
        <f>VLOOKUP($B87,'1.2 FY2017'!$B:E,2,0)</f>
        <v>Difference from eliminations</v>
      </c>
      <c r="D87" s="33" t="str">
        <f>VLOOKUP($B87,'1.2 FY2017'!$B:F,3,0)</f>
        <v>1086</v>
      </c>
      <c r="E87" s="32" t="str">
        <f>VLOOKUP($B87,'1.2 FY2017'!$B:G,4,0)</f>
        <v>G&amp;Resources Ltd</v>
      </c>
      <c r="F87" s="34">
        <f>-SUMIF('1.1 FY2016'!$B:$B,Database!$B87,'1.1 FY2016'!$F:$F)</f>
        <v>0</v>
      </c>
      <c r="G87" s="34">
        <f>-SUMIF('1.2 FY2017'!$B:$B,Database!$B87,'1.2 FY2017'!$F:$F)</f>
        <v>0</v>
      </c>
      <c r="H87" s="34">
        <f>-SUMIF('1.3 FY2018'!$B:$B,Database!$B87,'1.3 FY2018'!$F:$F)</f>
        <v>0</v>
      </c>
      <c r="I87" s="35" t="str">
        <f>VLOOKUP($C87,'P&amp;L statement'!X:Y,2,0)</f>
        <v>-</v>
      </c>
    </row>
    <row r="88" spans="2:9" x14ac:dyDescent="0.2">
      <c r="B88" s="31" t="s">
        <v>181</v>
      </c>
      <c r="C88" s="32" t="str">
        <f>VLOOKUP($B88,'1.2 FY2017'!$B:E,2,0)</f>
        <v>Interest income</v>
      </c>
      <c r="D88" s="33" t="str">
        <f>VLOOKUP($B88,'1.2 FY2017'!$B:F,3,0)</f>
        <v>1086</v>
      </c>
      <c r="E88" s="32" t="str">
        <f>VLOOKUP($B88,'1.2 FY2017'!$B:G,4,0)</f>
        <v>G&amp;Resources Ltd</v>
      </c>
      <c r="F88" s="34">
        <f>-SUMIF('1.1 FY2016'!$B:$B,Database!$B88,'1.1 FY2016'!$F:$F)</f>
        <v>0</v>
      </c>
      <c r="G88" s="34">
        <f>-SUMIF('1.2 FY2017'!$B:$B,Database!$B88,'1.2 FY2017'!$F:$F)</f>
        <v>0</v>
      </c>
      <c r="H88" s="34">
        <f>-SUMIF('1.3 FY2018'!$B:$B,Database!$B88,'1.3 FY2018'!$F:$F)</f>
        <v>0</v>
      </c>
      <c r="I88" s="35" t="str">
        <f>VLOOKUP($C88,'P&amp;L statement'!X:Y,2,0)</f>
        <v>Financial items</v>
      </c>
    </row>
    <row r="89" spans="2:9" x14ac:dyDescent="0.2">
      <c r="B89" s="31" t="s">
        <v>182</v>
      </c>
      <c r="C89" s="32" t="str">
        <f>VLOOKUP($B89,'1.2 FY2017'!$B:E,2,0)</f>
        <v>Interest income</v>
      </c>
      <c r="D89" s="33">
        <f>VLOOKUP($B89,'1.2 FY2017'!$B:F,3,0)</f>
        <v>1006</v>
      </c>
      <c r="E89" s="32" t="str">
        <f>VLOOKUP($B89,'1.2 FY2017'!$B:G,4,0)</f>
        <v>Generco Mining GmbH</v>
      </c>
      <c r="F89" s="34">
        <f>-SUMIF('1.1 FY2016'!$B:$B,Database!$B89,'1.1 FY2016'!$F:$F)</f>
        <v>0</v>
      </c>
      <c r="G89" s="34">
        <f>-SUMIF('1.2 FY2017'!$B:$B,Database!$B89,'1.2 FY2017'!$F:$F)</f>
        <v>6778.415</v>
      </c>
      <c r="H89" s="34">
        <f>-SUMIF('1.3 FY2018'!$B:$B,Database!$B89,'1.3 FY2018'!$F:$F)</f>
        <v>0</v>
      </c>
      <c r="I89" s="35" t="str">
        <f>VLOOKUP($C89,'P&amp;L statement'!X:Y,2,0)</f>
        <v>Financial items</v>
      </c>
    </row>
    <row r="90" spans="2:9" x14ac:dyDescent="0.2">
      <c r="B90" s="31" t="s">
        <v>183</v>
      </c>
      <c r="C90" s="32" t="str">
        <f>VLOOKUP($B90,'1.2 FY2017'!$B:E,2,0)</f>
        <v>Interest expenses</v>
      </c>
      <c r="D90" s="33">
        <f>VLOOKUP($B90,'1.2 FY2017'!$B:F,3,0)</f>
        <v>1007</v>
      </c>
      <c r="E90" s="32" t="str">
        <f>VLOOKUP($B90,'1.2 FY2017'!$B:G,4,0)</f>
        <v>Generco Semiconductors Ltd</v>
      </c>
      <c r="F90" s="34">
        <f>-SUMIF('1.1 FY2016'!$B:$B,Database!$B90,'1.1 FY2016'!$F:$F)</f>
        <v>0</v>
      </c>
      <c r="G90" s="34">
        <f>-SUMIF('1.2 FY2017'!$B:$B,Database!$B90,'1.2 FY2017'!$F:$F)</f>
        <v>0</v>
      </c>
      <c r="H90" s="34">
        <f>-SUMIF('1.3 FY2018'!$B:$B,Database!$B90,'1.3 FY2018'!$F:$F)</f>
        <v>0</v>
      </c>
      <c r="I90" s="35" t="str">
        <f>VLOOKUP($C90,'P&amp;L statement'!X:Y,2,0)</f>
        <v>Financial items</v>
      </c>
    </row>
    <row r="91" spans="2:9" x14ac:dyDescent="0.2">
      <c r="B91" s="31" t="s">
        <v>184</v>
      </c>
      <c r="C91" s="32" t="str">
        <f>VLOOKUP($B91,'1.2 FY2017'!$B:E,2,0)</f>
        <v>Interest expenses</v>
      </c>
      <c r="D91" s="33">
        <f>VLOOKUP($B91,'1.2 FY2017'!$B:F,3,0)</f>
        <v>111111</v>
      </c>
      <c r="E91" s="32" t="str">
        <f>VLOOKUP($B91,'1.2 FY2017'!$B:G,4,0)</f>
        <v>External</v>
      </c>
      <c r="F91" s="34">
        <f>-SUMIF('1.1 FY2016'!$B:$B,Database!$B91,'1.1 FY2016'!$F:$F)</f>
        <v>0</v>
      </c>
      <c r="G91" s="34">
        <f>-SUMIF('1.2 FY2017'!$B:$B,Database!$B91,'1.2 FY2017'!$F:$F)</f>
        <v>-1250.7950000000001</v>
      </c>
      <c r="H91" s="34">
        <f>-SUMIF('1.3 FY2018'!$B:$B,Database!$B91,'1.3 FY2018'!$F:$F)</f>
        <v>-51.454999999999998</v>
      </c>
      <c r="I91" s="35" t="str">
        <f>VLOOKUP($C91,'P&amp;L statement'!X:Y,2,0)</f>
        <v>Financial items</v>
      </c>
    </row>
    <row r="92" spans="2:9" x14ac:dyDescent="0.2">
      <c r="B92" s="31" t="s">
        <v>185</v>
      </c>
      <c r="C92" s="32" t="str">
        <f>VLOOKUP($B92,'1.2 FY2017'!$B:E,2,0)</f>
        <v>Impairment of participation</v>
      </c>
      <c r="D92" s="33">
        <f>VLOOKUP($B92,'1.2 FY2017'!$B:F,3,0)</f>
        <v>1240</v>
      </c>
      <c r="E92" s="32" t="str">
        <f>VLOOKUP($B92,'1.2 FY2017'!$B:G,4,0)</f>
        <v xml:space="preserve">Generco UK </v>
      </c>
      <c r="F92" s="34">
        <f>-SUMIF('1.1 FY2016'!$B:$B,Database!$B92,'1.1 FY2016'!$F:$F)</f>
        <v>0</v>
      </c>
      <c r="G92" s="34">
        <f>-SUMIF('1.2 FY2017'!$B:$B,Database!$B92,'1.2 FY2017'!$F:$F)</f>
        <v>-4130000</v>
      </c>
      <c r="H92" s="34">
        <f>-SUMIF('1.3 FY2018'!$B:$B,Database!$B92,'1.3 FY2018'!$F:$F)</f>
        <v>0</v>
      </c>
      <c r="I92" s="35" t="str">
        <f>VLOOKUP($C92,'P&amp;L statement'!X:Y,2,0)</f>
        <v>Extraordinary items</v>
      </c>
    </row>
    <row r="93" spans="2:9" x14ac:dyDescent="0.2">
      <c r="B93" s="31" t="s">
        <v>186</v>
      </c>
      <c r="C93" s="32" t="str">
        <f>VLOOKUP($B93,'1.2 FY2017'!$B:E,2,0)</f>
        <v>Quarterly changes in current taxes</v>
      </c>
      <c r="D93" s="33">
        <f>VLOOKUP($B93,'1.2 FY2017'!$B:F,3,0)</f>
        <v>111101</v>
      </c>
      <c r="E93" s="32" t="str">
        <f>VLOOKUP($B93,'1.2 FY2017'!$B:G,4,0)</f>
        <v>Not assigned</v>
      </c>
      <c r="F93" s="34">
        <f>-SUMIF('1.1 FY2016'!$B:$B,Database!$B93,'1.1 FY2016'!$F:$F)</f>
        <v>0</v>
      </c>
      <c r="G93" s="34">
        <f>-SUMIF('1.2 FY2017'!$B:$B,Database!$B93,'1.2 FY2017'!$F:$F)</f>
        <v>0</v>
      </c>
      <c r="H93" s="34">
        <f>-SUMIF('1.3 FY2018'!$B:$B,Database!$B93,'1.3 FY2018'!$F:$F)</f>
        <v>0</v>
      </c>
      <c r="I93" s="35" t="str">
        <f>VLOOKUP($C93,'P&amp;L statement'!X:Y,2,0)</f>
        <v>-</v>
      </c>
    </row>
    <row r="94" spans="2:9" x14ac:dyDescent="0.2">
      <c r="B94" s="31" t="s">
        <v>187</v>
      </c>
      <c r="C94" s="32" t="str">
        <f>VLOOKUP($B94,'1.2 FY2017'!$B:E,2,0)</f>
        <v>Net income/(loss)</v>
      </c>
      <c r="D94" s="33">
        <f>VLOOKUP($B94,'1.2 FY2017'!$B:F,3,0)</f>
        <v>111101</v>
      </c>
      <c r="E94" s="32" t="str">
        <f>VLOOKUP($B94,'1.2 FY2017'!$B:G,4,0)</f>
        <v>Not assigned</v>
      </c>
      <c r="F94" s="34">
        <f>SUMIF('1.1 FY2016'!$B:$B,Database!$B94,'1.1 FY2016'!$F:$F)</f>
        <v>0</v>
      </c>
      <c r="G94" s="34">
        <f>SUMIF('1.2 FY2017'!$B:$B,Database!$B94,'1.2 FY2017'!$F:$F)</f>
        <v>6073808.1600000001</v>
      </c>
      <c r="H94" s="34">
        <f>SUMIF('1.3 FY2018'!$B:$B,Database!$B94,'1.3 FY2018'!$F:$F)</f>
        <v>-779290.47600000002</v>
      </c>
      <c r="I94" s="35" t="str">
        <f>VLOOKUP($C94,'P&amp;L statement'!X:Y,2,0)</f>
        <v>Net Income</v>
      </c>
    </row>
    <row r="95" spans="2:9" x14ac:dyDescent="0.2">
      <c r="B95" s="31" t="s">
        <v>188</v>
      </c>
      <c r="C95" s="32" t="str">
        <f>VLOOKUP($B95,'1.3 FY2018'!$B:E,2,0)</f>
        <v>Operating expenses for utilities</v>
      </c>
      <c r="D95" s="33">
        <f>VLOOKUP($B95,'1.3 FY2018'!$B:F,3,0)</f>
        <v>111111</v>
      </c>
      <c r="E95" s="32" t="str">
        <f>VLOOKUP($B95,'1.3 FY2018'!$B:G,4,0)</f>
        <v>External</v>
      </c>
      <c r="F95" s="34">
        <f>-SUMIF('1.1 FY2016'!$B:$B,Database!$B95,'1.1 FY2016'!$F:$F)</f>
        <v>0</v>
      </c>
      <c r="G95" s="34">
        <f>-SUMIF('1.2 FY2017'!$B:$B,Database!$B95,'1.2 FY2017'!$F:$F)</f>
        <v>0</v>
      </c>
      <c r="H95" s="34">
        <f>-SUMIF('1.3 FY2018'!$B:$B,Database!$B95,'1.3 FY2018'!$F:$F)</f>
        <v>-13691.949999999999</v>
      </c>
      <c r="I95" s="35" t="str">
        <f>VLOOKUP($C95,'P&amp;L statement'!X:Y,2,0)</f>
        <v>Other operating expenses</v>
      </c>
    </row>
    <row r="96" spans="2:9" x14ac:dyDescent="0.2">
      <c r="B96" s="31" t="s">
        <v>189</v>
      </c>
      <c r="C96" s="32" t="str">
        <f>VLOOKUP($B96,'1.3 FY2018'!$B:E,2,0)</f>
        <v>R&amp;D expenses</v>
      </c>
      <c r="D96" s="33" t="str">
        <f>VLOOKUP($B96,'1.3 FY2018'!$B:F,3,0)</f>
        <v>2185</v>
      </c>
      <c r="E96" s="32" t="str">
        <f>VLOOKUP($B96,'1.3 FY2018'!$B:G,4,0)</f>
        <v>Generco Green Projects GmbH</v>
      </c>
      <c r="F96" s="34">
        <f>-SUMIF('1.1 FY2016'!$B:$B,Database!$B96,'1.1 FY2016'!$F:$F)</f>
        <v>0</v>
      </c>
      <c r="G96" s="34">
        <f>-SUMIF('1.2 FY2017'!$B:$B,Database!$B96,'1.2 FY2017'!$F:$F)</f>
        <v>0</v>
      </c>
      <c r="H96" s="34">
        <f>-SUMIF('1.3 FY2018'!$B:$B,Database!$B96,'1.3 FY2018'!$F:$F)</f>
        <v>-192017.14499999996</v>
      </c>
      <c r="I96" s="35" t="str">
        <f>VLOOKUP($C96,'P&amp;L statement'!X:Y,2,0)</f>
        <v>Other operating expenses</v>
      </c>
    </row>
    <row r="97" spans="2:9" x14ac:dyDescent="0.2">
      <c r="B97" s="31" t="s">
        <v>190</v>
      </c>
      <c r="C97" s="32" t="str">
        <f>VLOOKUP($B97,'1.3 FY2018'!$B:E,2,0)</f>
        <v>R&amp;D expenses</v>
      </c>
      <c r="D97" s="33" t="str">
        <f>VLOOKUP($B97,'1.3 FY2018'!$B:F,3,0)</f>
        <v>2240</v>
      </c>
      <c r="E97" s="32" t="str">
        <f>VLOOKUP($B97,'1.3 FY2018'!$B:G,4,0)</f>
        <v>Greeny Germany GmbH</v>
      </c>
      <c r="F97" s="34">
        <f>-SUMIF('1.1 FY2016'!$B:$B,Database!$B97,'1.1 FY2016'!$F:$F)</f>
        <v>0</v>
      </c>
      <c r="G97" s="34">
        <f>-SUMIF('1.2 FY2017'!$B:$B,Database!$B97,'1.2 FY2017'!$F:$F)</f>
        <v>0</v>
      </c>
      <c r="H97" s="34">
        <f>-SUMIF('1.3 FY2018'!$B:$B,Database!$B97,'1.3 FY2018'!$F:$F)</f>
        <v>-375290.46599999996</v>
      </c>
      <c r="I97" s="35" t="str">
        <f>VLOOKUP($C97,'P&amp;L statement'!X:Y,2,0)</f>
        <v>Other operating expenses</v>
      </c>
    </row>
    <row r="98" spans="2:9" x14ac:dyDescent="0.2">
      <c r="B98" s="31" t="s">
        <v>191</v>
      </c>
      <c r="C98" s="32" t="str">
        <f>VLOOKUP($B98,'1.3 FY2018'!$B:E,2,0)</f>
        <v>R&amp;D expenses</v>
      </c>
      <c r="D98" s="33">
        <f>VLOOKUP($B98,'1.3 FY2018'!$B:F,3,0)</f>
        <v>17000</v>
      </c>
      <c r="E98" s="32" t="str">
        <f>VLOOKUP($B98,'1.3 FY2018'!$B:G,4,0)</f>
        <v>Generco Risk Management Ltd</v>
      </c>
      <c r="F98" s="34">
        <f>-SUMIF('1.1 FY2016'!$B:$B,Database!$B98,'1.1 FY2016'!$F:$F)</f>
        <v>0</v>
      </c>
      <c r="G98" s="34">
        <f>-SUMIF('1.2 FY2017'!$B:$B,Database!$B98,'1.2 FY2017'!$F:$F)</f>
        <v>0</v>
      </c>
      <c r="H98" s="34">
        <f>-SUMIF('1.3 FY2018'!$B:$B,Database!$B98,'1.3 FY2018'!$F:$F)</f>
        <v>-4920</v>
      </c>
      <c r="I98" s="35" t="str">
        <f>VLOOKUP($C98,'P&amp;L statement'!X:Y,2,0)</f>
        <v>Other operating expenses</v>
      </c>
    </row>
    <row r="99" spans="2:9" x14ac:dyDescent="0.2">
      <c r="B99" s="31" t="s">
        <v>192</v>
      </c>
      <c r="C99" s="32" t="str">
        <f>VLOOKUP($B99,'1.3 FY2018'!$B:E,2,0)</f>
        <v>Other operative currency differences</v>
      </c>
      <c r="D99" s="33" t="str">
        <f>VLOOKUP($B99,'1.3 FY2018'!$B:F,3,0)</f>
        <v>1118</v>
      </c>
      <c r="E99" s="32" t="str">
        <f>VLOOKUP($B99,'1.3 FY2018'!$B:G,4,0)</f>
        <v>Gener Green LLC</v>
      </c>
      <c r="F99" s="34">
        <f>-SUMIF('1.1 FY2016'!$B:$B,Database!$B99,'1.1 FY2016'!$F:$F)</f>
        <v>0</v>
      </c>
      <c r="G99" s="34">
        <f>-SUMIF('1.2 FY2017'!$B:$B,Database!$B99,'1.2 FY2017'!$F:$F)</f>
        <v>0</v>
      </c>
      <c r="H99" s="34">
        <f>-SUMIF('1.3 FY2018'!$B:$B,Database!$B99,'1.3 FY2018'!$F:$F)</f>
        <v>0</v>
      </c>
      <c r="I99" s="35" t="str">
        <f>VLOOKUP($C99,'P&amp;L statement'!X:Y,2,0)</f>
        <v>Other operating expenses</v>
      </c>
    </row>
    <row r="100" spans="2:9" x14ac:dyDescent="0.2">
      <c r="B100" s="31" t="s">
        <v>193</v>
      </c>
      <c r="C100" s="32" t="str">
        <f>VLOOKUP($B100,'1.3 FY2018'!$B:E,2,0)</f>
        <v>Other operative currency differences</v>
      </c>
      <c r="D100" s="33">
        <f>VLOOKUP($B100,'1.3 FY2018'!$B:F,3,0)</f>
        <v>111111</v>
      </c>
      <c r="E100" s="32" t="str">
        <f>VLOOKUP($B100,'1.3 FY2018'!$B:G,4,0)</f>
        <v>External</v>
      </c>
      <c r="F100" s="34">
        <f>-SUMIF('1.1 FY2016'!$B:$B,Database!$B100,'1.1 FY2016'!$F:$F)</f>
        <v>0</v>
      </c>
      <c r="G100" s="34">
        <f>-SUMIF('1.2 FY2017'!$B:$B,Database!$B100,'1.2 FY2017'!$F:$F)</f>
        <v>0</v>
      </c>
      <c r="H100" s="34">
        <f>-SUMIF('1.3 FY2018'!$B:$B,Database!$B100,'1.3 FY2018'!$F:$F)</f>
        <v>1252.8369999999998</v>
      </c>
      <c r="I100" s="35" t="str">
        <f>VLOOKUP($C100,'P&amp;L statement'!X:Y,2,0)</f>
        <v>Other operating expenses</v>
      </c>
    </row>
    <row r="101" spans="2:9" x14ac:dyDescent="0.2">
      <c r="B101" s="31" t="s">
        <v>194</v>
      </c>
      <c r="C101" s="32" t="str">
        <f>VLOOKUP($B101,'1.3 FY2018'!$B:E,2,0)</f>
        <v>Corporate recharges</v>
      </c>
      <c r="D101" s="33">
        <f>VLOOKUP($B101,'1.3 FY2018'!$B:F,3,0)</f>
        <v>1006</v>
      </c>
      <c r="E101" s="32" t="str">
        <f>VLOOKUP($B101,'1.3 FY2018'!$B:G,4,0)</f>
        <v>Generco Mining GmbH</v>
      </c>
      <c r="F101" s="34">
        <f>-SUMIF('1.1 FY2016'!$B:$B,Database!$B101,'1.1 FY2016'!$F:$F)</f>
        <v>0</v>
      </c>
      <c r="G101" s="34">
        <f>-SUMIF('1.2 FY2017'!$B:$B,Database!$B101,'1.2 FY2017'!$F:$F)</f>
        <v>0</v>
      </c>
      <c r="H101" s="34">
        <f>-SUMIF('1.3 FY2018'!$B:$B,Database!$B101,'1.3 FY2018'!$F:$F)</f>
        <v>0</v>
      </c>
      <c r="I101" s="35" t="str">
        <f>VLOOKUP($C101,'P&amp;L statement'!X:Y,2,0)</f>
        <v>Recharges</v>
      </c>
    </row>
    <row r="102" spans="2:9" x14ac:dyDescent="0.2">
      <c r="B102" s="31" t="s">
        <v>195</v>
      </c>
      <c r="C102" s="32" t="str">
        <f>VLOOKUP($B102,'1.3 FY2018'!$B:E,2,0)</f>
        <v>Reimbursements+compensation for damages</v>
      </c>
      <c r="D102" s="33">
        <f>VLOOKUP($B102,'1.3 FY2018'!$B:F,3,0)</f>
        <v>111111</v>
      </c>
      <c r="E102" s="32" t="str">
        <f>VLOOKUP($B102,'1.3 FY2018'!$B:G,4,0)</f>
        <v>External</v>
      </c>
      <c r="F102" s="34">
        <f>-SUMIF('1.1 FY2016'!$B:$B,Database!$B102,'1.1 FY2016'!$F:$F)</f>
        <v>0</v>
      </c>
      <c r="G102" s="34">
        <f>-SUMIF('1.2 FY2017'!$B:$B,Database!$B102,'1.2 FY2017'!$F:$F)</f>
        <v>0</v>
      </c>
      <c r="H102" s="34">
        <f>-SUMIF('1.3 FY2018'!$B:$B,Database!$B102,'1.3 FY2018'!$F:$F)</f>
        <v>61499.999999999993</v>
      </c>
      <c r="I102" s="35" t="str">
        <f>VLOOKUP($C102,'P&amp;L statement'!X:Y,2,0)</f>
        <v>Other operating expenses</v>
      </c>
    </row>
    <row r="103" spans="2:9" x14ac:dyDescent="0.2">
      <c r="B103" s="31" t="s">
        <v>196</v>
      </c>
      <c r="C103" s="32" t="str">
        <f>VLOOKUP($B103,'1.3 FY2018'!$B:E,2,0)</f>
        <v>Other income</v>
      </c>
      <c r="D103" s="33">
        <f>VLOOKUP($B103,'1.3 FY2018'!$B:F,3,0)</f>
        <v>105</v>
      </c>
      <c r="E103" s="32" t="str">
        <f>VLOOKUP($B103,'1.3 FY2018'!$B:G,4,0)</f>
        <v>Generco Healthcare Ltd</v>
      </c>
      <c r="F103" s="34">
        <f>-SUMIF('1.1 FY2016'!$B:$B,Database!$B103,'1.1 FY2016'!$F:$F)</f>
        <v>0</v>
      </c>
      <c r="G103" s="34">
        <f>-SUMIF('1.2 FY2017'!$B:$B,Database!$B103,'1.2 FY2017'!$F:$F)</f>
        <v>0</v>
      </c>
      <c r="H103" s="34">
        <f>-SUMIF('1.3 FY2018'!$B:$B,Database!$B103,'1.3 FY2018'!$F:$F)</f>
        <v>30913.425999999996</v>
      </c>
      <c r="I103" s="35" t="str">
        <f>VLOOKUP($C103,'P&amp;L statement'!X:Y,2,0)</f>
        <v>Other income</v>
      </c>
    </row>
    <row r="104" spans="2:9" x14ac:dyDescent="0.2">
      <c r="B104" s="31" t="s">
        <v>197</v>
      </c>
      <c r="C104" s="32" t="str">
        <f>VLOOKUP($B104,'1.3 FY2018'!$B:E,2,0)</f>
        <v>Leasings</v>
      </c>
      <c r="D104" s="33">
        <f>VLOOKUP($B104,'1.3 FY2018'!$B:F,3,0)</f>
        <v>105</v>
      </c>
      <c r="E104" s="32" t="str">
        <f>VLOOKUP($B104,'1.3 FY2018'!$B:G,4,0)</f>
        <v>Generco Healthcare Ltd</v>
      </c>
      <c r="F104" s="34">
        <f>-SUMIF('1.1 FY2016'!$B:$B,Database!$B104,'1.1 FY2016'!$F:$F)</f>
        <v>0</v>
      </c>
      <c r="G104" s="34">
        <f>-SUMIF('1.2 FY2017'!$B:$B,Database!$B104,'1.2 FY2017'!$F:$F)</f>
        <v>0</v>
      </c>
      <c r="H104" s="34">
        <f>-SUMIF('1.3 FY2018'!$B:$B,Database!$B104,'1.3 FY2018'!$F:$F)</f>
        <v>1423120</v>
      </c>
      <c r="I104" s="35" t="str">
        <f>VLOOKUP($C104,'P&amp;L statement'!X:Y,2,0)</f>
        <v>Leasings</v>
      </c>
    </row>
    <row r="105" spans="2:9" x14ac:dyDescent="0.2">
      <c r="B105" s="31" t="s">
        <v>198</v>
      </c>
      <c r="C105" s="32" t="str">
        <f>VLOOKUP($B105,'1.3 FY2018'!$B:E,2,0)</f>
        <v>Insurance expenses</v>
      </c>
      <c r="D105" s="33">
        <f>VLOOKUP($B105,'1.3 FY2018'!$B:F,3,0)</f>
        <v>88</v>
      </c>
      <c r="E105" s="32" t="str">
        <f>VLOOKUP($B105,'1.3 FY2018'!$B:G,4,0)</f>
        <v>Generco Ltd</v>
      </c>
      <c r="F105" s="34">
        <f>-SUMIF('1.1 FY2016'!$B:$B,Database!$B105,'1.1 FY2016'!$F:$F)</f>
        <v>0</v>
      </c>
      <c r="G105" s="34">
        <f>-SUMIF('1.2 FY2017'!$B:$B,Database!$B105,'1.2 FY2017'!$F:$F)</f>
        <v>0</v>
      </c>
      <c r="H105" s="34">
        <f>-SUMIF('1.3 FY2018'!$B:$B,Database!$B105,'1.3 FY2018'!$F:$F)</f>
        <v>-584.66</v>
      </c>
      <c r="I105" s="35" t="str">
        <f>VLOOKUP($C105,'P&amp;L statement'!X:Y,2,0)</f>
        <v>Other operating expenses</v>
      </c>
    </row>
    <row r="106" spans="2:9" x14ac:dyDescent="0.2">
      <c r="B106" s="31" t="s">
        <v>199</v>
      </c>
      <c r="C106" s="32" t="str">
        <f>VLOOKUP($B106,'1.3 FY2018'!$B:E,2,0)</f>
        <v>Repairs/Maintenance costs</v>
      </c>
      <c r="D106" s="33">
        <f>VLOOKUP($B106,'1.3 FY2018'!$B:F,3,0)</f>
        <v>111111</v>
      </c>
      <c r="E106" s="32" t="str">
        <f>VLOOKUP($B106,'1.3 FY2018'!$B:G,4,0)</f>
        <v>External</v>
      </c>
      <c r="F106" s="34">
        <f>-SUMIF('1.1 FY2016'!$B:$B,Database!$B106,'1.1 FY2016'!$F:$F)</f>
        <v>0</v>
      </c>
      <c r="G106" s="34">
        <f>-SUMIF('1.2 FY2017'!$B:$B,Database!$B106,'1.2 FY2017'!$F:$F)</f>
        <v>0</v>
      </c>
      <c r="H106" s="34">
        <f>-SUMIF('1.3 FY2018'!$B:$B,Database!$B106,'1.3 FY2018'!$F:$F)</f>
        <v>-1352.9999999999998</v>
      </c>
      <c r="I106" s="35" t="str">
        <f>VLOOKUP($C106,'P&amp;L statement'!X:Y,2,0)</f>
        <v>Other operating expenses</v>
      </c>
    </row>
    <row r="107" spans="2:9" x14ac:dyDescent="0.2">
      <c r="B107" s="31" t="s">
        <v>200</v>
      </c>
      <c r="C107" s="32" t="str">
        <f>VLOOKUP($B107,'1.3 FY2018'!$B:E,2,0)</f>
        <v>Impairment of participation</v>
      </c>
      <c r="D107" s="33">
        <f>VLOOKUP($B107,'1.3 FY2018'!$B:F,3,0)</f>
        <v>111101</v>
      </c>
      <c r="E107" s="32" t="str">
        <f>VLOOKUP($B107,'1.3 FY2018'!$B:G,4,0)</f>
        <v>Not assigned</v>
      </c>
      <c r="F107" s="34">
        <f>-SUMIF('1.1 FY2016'!$B:$B,Database!$B107,'1.1 FY2016'!$F:$F)</f>
        <v>0</v>
      </c>
      <c r="G107" s="34">
        <f>-SUMIF('1.2 FY2017'!$B:$B,Database!$B107,'1.2 FY2017'!$F:$F)</f>
        <v>0</v>
      </c>
      <c r="H107" s="34">
        <f>-SUMIF('1.3 FY2018'!$B:$B,Database!$B107,'1.3 FY2018'!$F:$F)</f>
        <v>0</v>
      </c>
      <c r="I107" s="35" t="str">
        <f>VLOOKUP($C107,'P&amp;L statement'!X:Y,2,0)</f>
        <v>Extraordinary items</v>
      </c>
    </row>
    <row r="108" spans="2:9" x14ac:dyDescent="0.2">
      <c r="B108" s="36" t="s">
        <v>201</v>
      </c>
      <c r="C108" s="37" t="str">
        <f>VLOOKUP($B108,'1.3 FY2018'!$B:E,2,0)</f>
        <v>Offset segments (tech.)</v>
      </c>
      <c r="D108" s="38">
        <f>VLOOKUP($B108,'1.3 FY2018'!$B:F,3,0)</f>
        <v>111101</v>
      </c>
      <c r="E108" s="37" t="str">
        <f>VLOOKUP($B108,'1.3 FY2018'!$B:G,4,0)</f>
        <v>Not assigned</v>
      </c>
      <c r="F108" s="39">
        <f>-SUMIF('1.1 FY2016'!$B:$B,Database!$B108,'1.1 FY2016'!$F:$F)</f>
        <v>0</v>
      </c>
      <c r="G108" s="39">
        <f>-SUMIF('1.2 FY2017'!$B:$B,Database!$B108,'1.2 FY2017'!$F:$F)</f>
        <v>0</v>
      </c>
      <c r="H108" s="39">
        <f>-SUMIF('1.3 FY2018'!$B:$B,Database!$B108,'1.3 FY2018'!$F:$F)</f>
        <v>0</v>
      </c>
      <c r="I108" s="40" t="str">
        <f>VLOOKUP($C108,'P&amp;L statement'!X:Y,2,0)</f>
        <v>-</v>
      </c>
    </row>
    <row r="109" spans="2:9" ht="15" x14ac:dyDescent="0.25">
      <c r="B109" s="1"/>
      <c r="C109" s="1"/>
      <c r="D109" s="1"/>
      <c r="E109" s="1"/>
    </row>
    <row r="110" spans="2:9" ht="15" x14ac:dyDescent="0.25">
      <c r="B110" s="1"/>
      <c r="C110" s="1"/>
      <c r="D110" s="1"/>
      <c r="E110" s="1"/>
    </row>
    <row r="111" spans="2:9" ht="15" x14ac:dyDescent="0.25">
      <c r="B111" s="1"/>
      <c r="C111" s="1"/>
      <c r="D111" s="1"/>
      <c r="E111" s="1"/>
    </row>
    <row r="112" spans="2:9" ht="15" x14ac:dyDescent="0.25">
      <c r="B112" s="1"/>
      <c r="C112" s="1"/>
      <c r="D112" s="1"/>
      <c r="E112" s="1"/>
    </row>
    <row r="113" spans="2:5" ht="15" x14ac:dyDescent="0.25">
      <c r="B113" s="1"/>
      <c r="C113" s="1"/>
      <c r="D113" s="1"/>
      <c r="E113" s="1"/>
    </row>
    <row r="114" spans="2:5" ht="15" x14ac:dyDescent="0.25">
      <c r="B114" s="1"/>
      <c r="C114" s="1"/>
      <c r="D114" s="1"/>
      <c r="E114" s="1"/>
    </row>
    <row r="115" spans="2:5" ht="15" x14ac:dyDescent="0.25">
      <c r="B115" s="1"/>
      <c r="C115" s="1"/>
      <c r="D115" s="1"/>
      <c r="E115" s="1"/>
    </row>
    <row r="116" spans="2:5" ht="15" x14ac:dyDescent="0.25">
      <c r="B116" s="1"/>
      <c r="C116" s="1"/>
      <c r="D116" s="1"/>
      <c r="E116" s="1"/>
    </row>
    <row r="117" spans="2:5" ht="15" x14ac:dyDescent="0.25">
      <c r="B117" s="1"/>
      <c r="C117" s="1"/>
      <c r="D117" s="1"/>
      <c r="E117" s="1"/>
    </row>
    <row r="118" spans="2:5" ht="15" x14ac:dyDescent="0.25">
      <c r="B118" s="1"/>
      <c r="C118" s="1"/>
      <c r="D118" s="1"/>
      <c r="E118" s="1"/>
    </row>
    <row r="119" spans="2:5" ht="15" x14ac:dyDescent="0.25">
      <c r="B119" s="1"/>
      <c r="C119" s="1"/>
      <c r="D119" s="1"/>
      <c r="E119" s="1"/>
    </row>
    <row r="120" spans="2:5" ht="15" x14ac:dyDescent="0.25">
      <c r="B120" s="1"/>
      <c r="C120" s="1"/>
      <c r="D120" s="1"/>
      <c r="E120" s="1"/>
    </row>
    <row r="121" spans="2:5" ht="15" x14ac:dyDescent="0.25">
      <c r="B121" s="1"/>
      <c r="C121" s="1"/>
      <c r="D121" s="1"/>
      <c r="E121" s="1"/>
    </row>
    <row r="122" spans="2:5" ht="15" x14ac:dyDescent="0.25">
      <c r="B122" s="1"/>
      <c r="C122" s="1"/>
      <c r="D122" s="1"/>
      <c r="E122" s="1"/>
    </row>
    <row r="123" spans="2:5" ht="15" x14ac:dyDescent="0.25">
      <c r="B123" s="1"/>
      <c r="C123" s="1"/>
      <c r="D123" s="1"/>
      <c r="E123" s="1"/>
    </row>
    <row r="124" spans="2:5" ht="15" x14ac:dyDescent="0.25">
      <c r="B124" s="1"/>
      <c r="C124" s="1"/>
      <c r="D124" s="1"/>
      <c r="E124" s="1"/>
    </row>
    <row r="125" spans="2:5" ht="15" x14ac:dyDescent="0.25">
      <c r="B125" s="1"/>
      <c r="C125" s="1"/>
      <c r="D125" s="1"/>
      <c r="E125" s="1"/>
    </row>
    <row r="126" spans="2:5" ht="15" x14ac:dyDescent="0.25">
      <c r="B126" s="1"/>
      <c r="C126" s="1"/>
      <c r="D126" s="1"/>
      <c r="E126" s="1"/>
    </row>
    <row r="127" spans="2:5" ht="15" x14ac:dyDescent="0.25">
      <c r="B127" s="1"/>
      <c r="C127" s="1"/>
      <c r="D127" s="1"/>
      <c r="E127" s="1"/>
    </row>
    <row r="128" spans="2:5" ht="15" x14ac:dyDescent="0.25">
      <c r="B128" s="1"/>
      <c r="C128" s="1"/>
      <c r="D128" s="1"/>
      <c r="E128" s="1"/>
    </row>
    <row r="129" spans="2:5" ht="15" x14ac:dyDescent="0.25">
      <c r="B129" s="1"/>
      <c r="C129" s="1"/>
      <c r="D129" s="1"/>
      <c r="E129" s="1"/>
    </row>
    <row r="130" spans="2:5" ht="15" x14ac:dyDescent="0.25">
      <c r="B130" s="1"/>
      <c r="C130" s="1"/>
      <c r="D130" s="1"/>
      <c r="E130" s="1"/>
    </row>
    <row r="131" spans="2:5" ht="15" x14ac:dyDescent="0.25">
      <c r="B131" s="1"/>
      <c r="C131" s="1"/>
      <c r="D131" s="1"/>
      <c r="E131" s="1"/>
    </row>
    <row r="132" spans="2:5" ht="15" x14ac:dyDescent="0.25">
      <c r="B132" s="1"/>
      <c r="C132" s="1"/>
      <c r="D132" s="1"/>
      <c r="E132" s="1"/>
    </row>
    <row r="133" spans="2:5" ht="15" x14ac:dyDescent="0.25">
      <c r="B133" s="1"/>
      <c r="C133" s="1"/>
      <c r="D133" s="1"/>
      <c r="E133" s="1"/>
    </row>
    <row r="134" spans="2:5" ht="15" x14ac:dyDescent="0.25">
      <c r="B134" s="1"/>
      <c r="C134" s="1"/>
      <c r="D134" s="1"/>
      <c r="E134" s="1"/>
    </row>
    <row r="135" spans="2:5" ht="15" x14ac:dyDescent="0.25">
      <c r="B135" s="1"/>
      <c r="C135" s="1"/>
      <c r="D135" s="1"/>
      <c r="E135" s="1"/>
    </row>
    <row r="136" spans="2:5" ht="15" x14ac:dyDescent="0.25">
      <c r="B136" s="1"/>
      <c r="C136" s="1"/>
      <c r="D136" s="1"/>
      <c r="E136" s="1"/>
    </row>
    <row r="137" spans="2:5" ht="15" x14ac:dyDescent="0.25">
      <c r="B137" s="1"/>
      <c r="C137" s="1"/>
      <c r="D137" s="1"/>
      <c r="E137" s="1"/>
    </row>
    <row r="138" spans="2:5" ht="15" x14ac:dyDescent="0.25">
      <c r="B138" s="1"/>
      <c r="C138" s="1"/>
      <c r="D138" s="1"/>
      <c r="E138" s="1"/>
    </row>
    <row r="139" spans="2:5" ht="15" x14ac:dyDescent="0.25">
      <c r="B139" s="1"/>
      <c r="C139" s="1"/>
      <c r="D139" s="1"/>
      <c r="E139" s="1"/>
    </row>
    <row r="140" spans="2:5" ht="15" x14ac:dyDescent="0.25">
      <c r="B140" s="1"/>
      <c r="C140" s="1"/>
      <c r="D140" s="1"/>
      <c r="E140" s="1"/>
    </row>
    <row r="141" spans="2:5" ht="15" x14ac:dyDescent="0.25">
      <c r="B141" s="1"/>
      <c r="C141" s="1"/>
      <c r="D141" s="1"/>
      <c r="E141" s="1"/>
    </row>
    <row r="142" spans="2:5" ht="15" x14ac:dyDescent="0.25">
      <c r="B142" s="1"/>
      <c r="C142" s="1"/>
      <c r="D142" s="1"/>
      <c r="E142" s="1"/>
    </row>
    <row r="143" spans="2:5" ht="15" x14ac:dyDescent="0.25">
      <c r="B143" s="1"/>
      <c r="C143" s="1"/>
      <c r="D143" s="1"/>
      <c r="E143" s="1"/>
    </row>
    <row r="144" spans="2:5" ht="15" x14ac:dyDescent="0.25">
      <c r="B144" s="1"/>
      <c r="C144" s="1"/>
      <c r="D144" s="1"/>
      <c r="E144" s="1"/>
    </row>
    <row r="145" spans="2:5" ht="15" x14ac:dyDescent="0.25">
      <c r="B145" s="1"/>
      <c r="C145" s="1"/>
      <c r="D145" s="1"/>
      <c r="E145" s="1"/>
    </row>
    <row r="146" spans="2:5" ht="15" x14ac:dyDescent="0.25">
      <c r="B146" s="1"/>
      <c r="C146" s="1"/>
      <c r="D146" s="1"/>
      <c r="E146" s="1"/>
    </row>
    <row r="147" spans="2:5" ht="15" x14ac:dyDescent="0.25">
      <c r="B147" s="1"/>
      <c r="C147" s="1"/>
      <c r="D147" s="1"/>
      <c r="E147" s="1"/>
    </row>
    <row r="148" spans="2:5" ht="15" x14ac:dyDescent="0.25">
      <c r="B148" s="1"/>
      <c r="C148" s="1"/>
      <c r="D148" s="1"/>
      <c r="E148" s="1"/>
    </row>
    <row r="149" spans="2:5" ht="15" x14ac:dyDescent="0.25">
      <c r="B149" s="1"/>
      <c r="C149" s="1"/>
      <c r="D149" s="1"/>
      <c r="E149" s="1"/>
    </row>
    <row r="150" spans="2:5" ht="15" x14ac:dyDescent="0.25">
      <c r="B150" s="1"/>
      <c r="C150" s="1"/>
      <c r="D150" s="1"/>
      <c r="E150" s="1"/>
    </row>
    <row r="151" spans="2:5" ht="15" x14ac:dyDescent="0.25">
      <c r="B151" s="1"/>
      <c r="C151" s="1"/>
      <c r="D151" s="1"/>
      <c r="E151" s="1"/>
    </row>
    <row r="152" spans="2:5" ht="15" x14ac:dyDescent="0.25">
      <c r="B152" s="1"/>
      <c r="C152" s="1"/>
      <c r="D152" s="1"/>
      <c r="E152" s="1"/>
    </row>
    <row r="153" spans="2:5" ht="15" x14ac:dyDescent="0.25">
      <c r="B153" s="1"/>
      <c r="C153" s="1"/>
      <c r="D153" s="1"/>
      <c r="E153" s="1"/>
    </row>
    <row r="154" spans="2:5" ht="15" x14ac:dyDescent="0.25">
      <c r="B154" s="1"/>
      <c r="C154" s="1"/>
      <c r="D154" s="1"/>
      <c r="E154" s="1"/>
    </row>
    <row r="155" spans="2:5" ht="15" x14ac:dyDescent="0.25">
      <c r="B155" s="1"/>
      <c r="C155" s="1"/>
      <c r="D155" s="1"/>
      <c r="E155" s="1"/>
    </row>
    <row r="156" spans="2:5" ht="15" x14ac:dyDescent="0.25">
      <c r="B156" s="1"/>
      <c r="C156" s="1"/>
      <c r="D156" s="1"/>
      <c r="E156" s="1"/>
    </row>
    <row r="157" spans="2:5" ht="15" x14ac:dyDescent="0.25">
      <c r="B157" s="1"/>
      <c r="C157" s="1"/>
      <c r="D157" s="1"/>
      <c r="E157" s="1"/>
    </row>
    <row r="158" spans="2:5" ht="15" x14ac:dyDescent="0.25">
      <c r="B158" s="1"/>
      <c r="C158" s="1"/>
      <c r="D158" s="1"/>
      <c r="E158" s="1"/>
    </row>
    <row r="159" spans="2:5" ht="15" x14ac:dyDescent="0.25">
      <c r="B159" s="1"/>
      <c r="C159" s="1"/>
      <c r="D159" s="1"/>
      <c r="E159" s="1"/>
    </row>
    <row r="160" spans="2:5" ht="15" x14ac:dyDescent="0.25">
      <c r="B160" s="1"/>
      <c r="C160" s="1"/>
      <c r="D160" s="1"/>
      <c r="E160" s="1"/>
    </row>
    <row r="161" spans="2:5" ht="15" x14ac:dyDescent="0.25">
      <c r="B161" s="1"/>
      <c r="C161" s="1"/>
      <c r="D161" s="1"/>
      <c r="E161" s="1"/>
    </row>
    <row r="162" spans="2:5" ht="15" x14ac:dyDescent="0.25">
      <c r="B162" s="1"/>
      <c r="C162" s="1"/>
      <c r="D162" s="1"/>
      <c r="E162" s="1"/>
    </row>
    <row r="163" spans="2:5" ht="15" x14ac:dyDescent="0.25">
      <c r="B163" s="1"/>
      <c r="C163" s="1"/>
      <c r="D163" s="1"/>
      <c r="E163" s="1"/>
    </row>
    <row r="164" spans="2:5" ht="15" x14ac:dyDescent="0.25">
      <c r="B164" s="1"/>
      <c r="C164" s="1"/>
      <c r="D164" s="1"/>
      <c r="E164" s="1"/>
    </row>
    <row r="165" spans="2:5" ht="15" x14ac:dyDescent="0.25">
      <c r="B165" s="1"/>
      <c r="C165" s="1"/>
      <c r="D165" s="1"/>
      <c r="E165" s="1"/>
    </row>
    <row r="166" spans="2:5" ht="15" x14ac:dyDescent="0.25">
      <c r="B166" s="1"/>
      <c r="C166" s="1"/>
      <c r="D166" s="1"/>
      <c r="E166" s="1"/>
    </row>
    <row r="167" spans="2:5" ht="15" x14ac:dyDescent="0.25">
      <c r="B167" s="1"/>
      <c r="C167" s="1"/>
      <c r="D167" s="1"/>
      <c r="E167" s="1"/>
    </row>
    <row r="168" spans="2:5" ht="15" x14ac:dyDescent="0.25">
      <c r="B168" s="1"/>
      <c r="C168" s="1"/>
      <c r="D168" s="1"/>
      <c r="E168" s="1"/>
    </row>
    <row r="169" spans="2:5" ht="15" x14ac:dyDescent="0.25">
      <c r="B169" s="1"/>
      <c r="C169" s="1"/>
      <c r="D169" s="1"/>
      <c r="E169" s="1"/>
    </row>
    <row r="170" spans="2:5" ht="15" x14ac:dyDescent="0.25">
      <c r="B170" s="1"/>
      <c r="C170" s="1"/>
      <c r="D170" s="1"/>
      <c r="E170" s="1"/>
    </row>
    <row r="171" spans="2:5" ht="15" x14ac:dyDescent="0.25">
      <c r="B171" s="1"/>
      <c r="C171" s="1"/>
      <c r="D171" s="1"/>
      <c r="E171" s="1"/>
    </row>
    <row r="172" spans="2:5" ht="15" x14ac:dyDescent="0.25">
      <c r="B172" s="1"/>
      <c r="C172" s="1"/>
      <c r="D172" s="1"/>
      <c r="E172" s="1"/>
    </row>
    <row r="173" spans="2:5" ht="15" x14ac:dyDescent="0.25">
      <c r="B173" s="1"/>
      <c r="C173" s="1"/>
      <c r="D173" s="1"/>
      <c r="E173" s="1"/>
    </row>
    <row r="174" spans="2:5" ht="15" x14ac:dyDescent="0.25">
      <c r="B174" s="1"/>
      <c r="C174" s="1"/>
      <c r="D174" s="1"/>
      <c r="E174" s="1"/>
    </row>
    <row r="175" spans="2:5" ht="15" x14ac:dyDescent="0.25">
      <c r="B175" s="1"/>
      <c r="C175" s="1"/>
      <c r="D175" s="1"/>
      <c r="E175" s="1"/>
    </row>
    <row r="176" spans="2:5" ht="15" x14ac:dyDescent="0.25">
      <c r="B176" s="1"/>
      <c r="C176" s="1"/>
      <c r="D176" s="1"/>
      <c r="E176" s="1"/>
    </row>
    <row r="177" spans="2:5" ht="15" x14ac:dyDescent="0.25">
      <c r="B177" s="1"/>
      <c r="C177" s="1"/>
      <c r="D177" s="1"/>
      <c r="E177" s="1"/>
    </row>
    <row r="178" spans="2:5" ht="15" x14ac:dyDescent="0.25">
      <c r="B178" s="1"/>
      <c r="C178" s="1"/>
      <c r="D178" s="1"/>
      <c r="E178" s="1"/>
    </row>
    <row r="179" spans="2:5" ht="15" x14ac:dyDescent="0.25">
      <c r="B179" s="1"/>
      <c r="C179" s="1"/>
      <c r="D179" s="1"/>
      <c r="E179" s="1"/>
    </row>
    <row r="180" spans="2:5" ht="15" x14ac:dyDescent="0.25">
      <c r="B180" s="1"/>
      <c r="C180" s="1"/>
      <c r="D180" s="1"/>
      <c r="E180" s="1"/>
    </row>
    <row r="181" spans="2:5" ht="15" x14ac:dyDescent="0.25">
      <c r="B181" s="1"/>
      <c r="C181" s="1"/>
      <c r="D181" s="1"/>
      <c r="E181" s="1"/>
    </row>
    <row r="182" spans="2:5" ht="15" x14ac:dyDescent="0.25">
      <c r="B182" s="1"/>
      <c r="C182" s="1"/>
      <c r="D182" s="1"/>
      <c r="E182" s="1"/>
    </row>
    <row r="183" spans="2:5" ht="15" x14ac:dyDescent="0.25">
      <c r="B183" s="1"/>
      <c r="C183" s="1"/>
      <c r="D183" s="1"/>
      <c r="E183" s="1"/>
    </row>
    <row r="184" spans="2:5" ht="15" x14ac:dyDescent="0.25">
      <c r="B184" s="1"/>
      <c r="C184" s="1"/>
      <c r="D184" s="1"/>
      <c r="E184" s="1"/>
    </row>
    <row r="185" spans="2:5" ht="15" x14ac:dyDescent="0.25">
      <c r="B185" s="1"/>
      <c r="C185" s="1"/>
      <c r="D185" s="1"/>
      <c r="E185" s="1"/>
    </row>
    <row r="186" spans="2:5" ht="15" x14ac:dyDescent="0.25">
      <c r="B186" s="1"/>
      <c r="C186" s="1"/>
      <c r="D186" s="1"/>
      <c r="E186" s="1"/>
    </row>
    <row r="187" spans="2:5" ht="15" x14ac:dyDescent="0.25">
      <c r="B187" s="1"/>
      <c r="C187" s="1"/>
      <c r="D187" s="1"/>
      <c r="E187" s="1"/>
    </row>
    <row r="188" spans="2:5" ht="15" x14ac:dyDescent="0.25">
      <c r="B188" s="1"/>
      <c r="C188" s="1"/>
      <c r="D188" s="1"/>
      <c r="E188" s="1"/>
    </row>
    <row r="189" spans="2:5" ht="15" x14ac:dyDescent="0.25">
      <c r="B189" s="1"/>
      <c r="C189" s="1"/>
      <c r="D189" s="1"/>
      <c r="E189" s="1"/>
    </row>
    <row r="190" spans="2:5" ht="15" x14ac:dyDescent="0.25">
      <c r="B190" s="1"/>
      <c r="C190" s="1"/>
      <c r="D190" s="1"/>
      <c r="E190" s="1"/>
    </row>
    <row r="191" spans="2:5" ht="15" x14ac:dyDescent="0.25">
      <c r="B191" s="1"/>
      <c r="C191" s="1"/>
      <c r="D191" s="1"/>
      <c r="E191" s="1"/>
    </row>
    <row r="192" spans="2:5" ht="15" x14ac:dyDescent="0.25">
      <c r="B192" s="1"/>
      <c r="C192" s="1"/>
      <c r="D192" s="1"/>
      <c r="E192" s="1"/>
    </row>
    <row r="193" spans="2:5" ht="15" x14ac:dyDescent="0.25">
      <c r="B193" s="1"/>
      <c r="C193" s="1"/>
      <c r="D193" s="1"/>
      <c r="E193" s="1"/>
    </row>
    <row r="194" spans="2:5" ht="15" x14ac:dyDescent="0.25">
      <c r="B194" s="1"/>
      <c r="C194" s="1"/>
      <c r="D194" s="1"/>
      <c r="E194" s="1"/>
    </row>
    <row r="195" spans="2:5" ht="15" x14ac:dyDescent="0.25">
      <c r="B195" s="1"/>
      <c r="C195" s="1"/>
      <c r="D195" s="1"/>
      <c r="E195" s="1"/>
    </row>
    <row r="196" spans="2:5" ht="15" x14ac:dyDescent="0.25">
      <c r="B196" s="1"/>
      <c r="C196" s="1"/>
      <c r="D196" s="1"/>
      <c r="E196" s="1"/>
    </row>
    <row r="197" spans="2:5" ht="15" x14ac:dyDescent="0.25">
      <c r="B197" s="1"/>
      <c r="C197" s="1"/>
      <c r="D197" s="1"/>
      <c r="E197" s="1"/>
    </row>
    <row r="198" spans="2:5" ht="15" x14ac:dyDescent="0.25">
      <c r="B198" s="1"/>
      <c r="C198" s="1"/>
      <c r="D198" s="1"/>
      <c r="E198" s="1"/>
    </row>
    <row r="199" spans="2:5" ht="15" x14ac:dyDescent="0.25">
      <c r="B199" s="1"/>
      <c r="C199" s="1"/>
      <c r="D199" s="1"/>
      <c r="E199" s="1"/>
    </row>
    <row r="200" spans="2:5" ht="15" x14ac:dyDescent="0.25">
      <c r="B200" s="1"/>
      <c r="C200" s="1"/>
      <c r="D200" s="1"/>
      <c r="E200" s="1"/>
    </row>
    <row r="201" spans="2:5" ht="15" x14ac:dyDescent="0.25">
      <c r="B201" s="1"/>
      <c r="C201" s="1"/>
      <c r="D201" s="1"/>
      <c r="E201" s="1"/>
    </row>
    <row r="202" spans="2:5" ht="15" x14ac:dyDescent="0.25">
      <c r="B202" s="1"/>
      <c r="C202" s="1"/>
      <c r="D202" s="1"/>
      <c r="E202" s="1"/>
    </row>
    <row r="203" spans="2:5" ht="15" x14ac:dyDescent="0.25">
      <c r="B203" s="1"/>
      <c r="C203" s="1"/>
      <c r="D203" s="1"/>
      <c r="E203" s="1"/>
    </row>
    <row r="204" spans="2:5" ht="15" x14ac:dyDescent="0.25">
      <c r="B204" s="1"/>
      <c r="C204" s="1"/>
      <c r="D204" s="1"/>
      <c r="E204" s="1"/>
    </row>
    <row r="205" spans="2:5" ht="15" x14ac:dyDescent="0.25">
      <c r="B205" s="1"/>
      <c r="C205" s="1"/>
      <c r="D205" s="1"/>
      <c r="E205" s="1"/>
    </row>
    <row r="206" spans="2:5" ht="15" x14ac:dyDescent="0.25">
      <c r="B206" s="1"/>
      <c r="C206" s="1"/>
      <c r="D206" s="1"/>
      <c r="E206" s="1"/>
    </row>
    <row r="207" spans="2:5" ht="15" x14ac:dyDescent="0.25">
      <c r="B207" s="1"/>
      <c r="C207" s="1"/>
      <c r="D207" s="1"/>
      <c r="E207" s="1"/>
    </row>
    <row r="208" spans="2:5" ht="15" x14ac:dyDescent="0.25">
      <c r="B208" s="1"/>
      <c r="C208" s="1"/>
      <c r="D208" s="1"/>
      <c r="E208" s="1"/>
    </row>
    <row r="209" spans="2:5" ht="15" x14ac:dyDescent="0.25">
      <c r="B209" s="1"/>
      <c r="C209" s="1"/>
      <c r="D209" s="1"/>
      <c r="E209" s="1"/>
    </row>
    <row r="210" spans="2:5" ht="15" x14ac:dyDescent="0.25">
      <c r="B210" s="1"/>
      <c r="C210" s="1"/>
      <c r="D210" s="1"/>
      <c r="E210" s="1"/>
    </row>
    <row r="211" spans="2:5" ht="15" x14ac:dyDescent="0.25">
      <c r="B211" s="1"/>
      <c r="C211" s="1"/>
      <c r="D211" s="1"/>
      <c r="E211" s="1"/>
    </row>
    <row r="212" spans="2:5" ht="15" x14ac:dyDescent="0.25">
      <c r="B212" s="1"/>
      <c r="C212" s="1"/>
      <c r="D212" s="1"/>
      <c r="E212" s="1"/>
    </row>
    <row r="213" spans="2:5" ht="15" x14ac:dyDescent="0.25">
      <c r="B213" s="1"/>
      <c r="C213" s="1"/>
      <c r="D213" s="1"/>
      <c r="E213" s="1"/>
    </row>
    <row r="214" spans="2:5" ht="15" x14ac:dyDescent="0.25">
      <c r="B214" s="1"/>
      <c r="C214" s="1"/>
      <c r="D214" s="1"/>
      <c r="E214" s="1"/>
    </row>
    <row r="215" spans="2:5" ht="15" x14ac:dyDescent="0.25">
      <c r="B215" s="1"/>
      <c r="C215" s="1"/>
      <c r="D215" s="1"/>
      <c r="E215" s="1"/>
    </row>
    <row r="216" spans="2:5" ht="15" x14ac:dyDescent="0.25">
      <c r="B216" s="1"/>
      <c r="C216" s="1"/>
      <c r="D216" s="1"/>
      <c r="E216" s="1"/>
    </row>
  </sheetData>
  <mergeCells count="1">
    <mergeCell ref="C1:G1"/>
  </mergeCells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1" sqref="C1:G1"/>
    </sheetView>
  </sheetViews>
  <sheetFormatPr defaultColWidth="9.140625" defaultRowHeight="12" x14ac:dyDescent="0.2"/>
  <cols>
    <col min="1" max="1" width="3.7109375" style="2" customWidth="1"/>
    <col min="2" max="2" width="17.28515625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4.5703125" style="2" bestFit="1" customWidth="1"/>
    <col min="8" max="8" width="11" style="2" bestFit="1" customWidth="1"/>
    <col min="9" max="16384" width="9.140625" style="2"/>
  </cols>
  <sheetData>
    <row r="1" spans="2:7" ht="15.75" x14ac:dyDescent="0.25">
      <c r="B1" s="3" t="s">
        <v>93</v>
      </c>
      <c r="C1" s="89" t="s">
        <v>247</v>
      </c>
      <c r="D1" s="89"/>
      <c r="E1" s="89"/>
      <c r="F1" s="89"/>
      <c r="G1" s="89"/>
    </row>
    <row r="4" spans="2:7" x14ac:dyDescent="0.2">
      <c r="B4" s="51" t="s">
        <v>96</v>
      </c>
      <c r="C4" s="52" t="s">
        <v>84</v>
      </c>
      <c r="D4" s="52" t="s">
        <v>30</v>
      </c>
      <c r="E4" s="52" t="s">
        <v>85</v>
      </c>
      <c r="F4" s="52" t="s">
        <v>86</v>
      </c>
      <c r="G4" s="44" t="s">
        <v>87</v>
      </c>
    </row>
    <row r="5" spans="2:7" x14ac:dyDescent="0.2">
      <c r="B5" s="31" t="str">
        <f>CONCATENATE(G5,D5)</f>
        <v>2001110000111111</v>
      </c>
      <c r="C5" s="45" t="s">
        <v>57</v>
      </c>
      <c r="D5" s="45">
        <v>111111</v>
      </c>
      <c r="E5" s="45" t="s">
        <v>88</v>
      </c>
      <c r="F5" s="46">
        <v>-14500341</v>
      </c>
      <c r="G5" s="47">
        <v>2001110000</v>
      </c>
    </row>
    <row r="6" spans="2:7" x14ac:dyDescent="0.2">
      <c r="B6" s="31" t="str">
        <f t="shared" ref="B6:B61" si="0">CONCATENATE(G6,D6)</f>
        <v>2001190000111111</v>
      </c>
      <c r="C6" s="45" t="s">
        <v>58</v>
      </c>
      <c r="D6" s="45">
        <v>111111</v>
      </c>
      <c r="E6" s="45" t="s">
        <v>88</v>
      </c>
      <c r="F6" s="46">
        <v>-4794856.1919999998</v>
      </c>
      <c r="G6" s="47">
        <v>2001190000</v>
      </c>
    </row>
    <row r="7" spans="2:7" x14ac:dyDescent="0.2">
      <c r="B7" s="31" t="str">
        <f t="shared" si="0"/>
        <v>20200000001009</v>
      </c>
      <c r="C7" s="45" t="s">
        <v>59</v>
      </c>
      <c r="D7" s="45">
        <v>1009</v>
      </c>
      <c r="E7" s="45" t="s">
        <v>34</v>
      </c>
      <c r="F7" s="46">
        <v>-154890.4</v>
      </c>
      <c r="G7" s="47">
        <v>2020000000</v>
      </c>
    </row>
    <row r="8" spans="2:7" x14ac:dyDescent="0.2">
      <c r="B8" s="31" t="str">
        <f t="shared" si="0"/>
        <v>20200000001007</v>
      </c>
      <c r="C8" s="45" t="s">
        <v>59</v>
      </c>
      <c r="D8" s="45">
        <v>1007</v>
      </c>
      <c r="E8" s="45" t="s">
        <v>36</v>
      </c>
      <c r="F8" s="46">
        <v>-1180894.0520000001</v>
      </c>
      <c r="G8" s="47">
        <v>2020000000</v>
      </c>
    </row>
    <row r="9" spans="2:7" x14ac:dyDescent="0.2">
      <c r="B9" s="31" t="str">
        <f t="shared" si="0"/>
        <v>20200000001008</v>
      </c>
      <c r="C9" s="45" t="s">
        <v>59</v>
      </c>
      <c r="D9" s="45">
        <v>1008</v>
      </c>
      <c r="E9" s="45" t="s">
        <v>38</v>
      </c>
      <c r="F9" s="46">
        <v>-793079.51199999999</v>
      </c>
      <c r="G9" s="47">
        <v>2020000000</v>
      </c>
    </row>
    <row r="10" spans="2:7" x14ac:dyDescent="0.2">
      <c r="B10" s="31" t="str">
        <f t="shared" si="0"/>
        <v>2020000000111101</v>
      </c>
      <c r="C10" s="45" t="s">
        <v>59</v>
      </c>
      <c r="D10" s="45">
        <v>111101</v>
      </c>
      <c r="E10" s="45" t="s">
        <v>0</v>
      </c>
      <c r="F10" s="46">
        <v>-2277197.6</v>
      </c>
      <c r="G10" s="47">
        <v>2020000000</v>
      </c>
    </row>
    <row r="11" spans="2:7" x14ac:dyDescent="0.2">
      <c r="B11" s="31" t="str">
        <f t="shared" si="0"/>
        <v>2021900000111111</v>
      </c>
      <c r="C11" s="45" t="s">
        <v>89</v>
      </c>
      <c r="D11" s="45">
        <v>111111</v>
      </c>
      <c r="E11" s="45" t="s">
        <v>88</v>
      </c>
      <c r="F11" s="46">
        <v>4428911.7640000004</v>
      </c>
      <c r="G11" s="47">
        <v>2021900000</v>
      </c>
    </row>
    <row r="12" spans="2:7" x14ac:dyDescent="0.2">
      <c r="B12" s="31" t="str">
        <f t="shared" si="0"/>
        <v>2024080000111111</v>
      </c>
      <c r="C12" s="45" t="s">
        <v>61</v>
      </c>
      <c r="D12" s="45">
        <v>111111</v>
      </c>
      <c r="E12" s="45" t="s">
        <v>88</v>
      </c>
      <c r="F12" s="46">
        <v>16977.628000000001</v>
      </c>
      <c r="G12" s="47">
        <v>2024080000</v>
      </c>
    </row>
    <row r="13" spans="2:7" x14ac:dyDescent="0.2">
      <c r="B13" s="31" t="str">
        <f t="shared" si="0"/>
        <v>202409000088</v>
      </c>
      <c r="C13" s="45" t="s">
        <v>60</v>
      </c>
      <c r="D13" s="45">
        <v>88</v>
      </c>
      <c r="E13" s="45" t="s">
        <v>31</v>
      </c>
      <c r="F13" s="46">
        <v>2245437.54</v>
      </c>
      <c r="G13" s="47">
        <v>2024090000</v>
      </c>
    </row>
    <row r="14" spans="2:7" x14ac:dyDescent="0.2">
      <c r="B14" s="31" t="str">
        <f t="shared" si="0"/>
        <v>2024090000111111</v>
      </c>
      <c r="C14" s="45" t="s">
        <v>60</v>
      </c>
      <c r="D14" s="45">
        <v>111111</v>
      </c>
      <c r="E14" s="45" t="s">
        <v>88</v>
      </c>
      <c r="F14" s="46">
        <v>16605.634000000002</v>
      </c>
      <c r="G14" s="47">
        <v>2024090000</v>
      </c>
    </row>
    <row r="15" spans="2:7" x14ac:dyDescent="0.2">
      <c r="B15" s="31" t="str">
        <f t="shared" si="0"/>
        <v>2041000000111111</v>
      </c>
      <c r="C15" s="45" t="s">
        <v>1</v>
      </c>
      <c r="D15" s="45">
        <v>111111</v>
      </c>
      <c r="E15" s="45" t="s">
        <v>88</v>
      </c>
      <c r="F15" s="46">
        <v>4683394.0460000001</v>
      </c>
      <c r="G15" s="47">
        <v>2041000000</v>
      </c>
    </row>
    <row r="16" spans="2:7" x14ac:dyDescent="0.2">
      <c r="B16" s="31" t="str">
        <f t="shared" si="0"/>
        <v>2042000000111101</v>
      </c>
      <c r="C16" s="45" t="s">
        <v>62</v>
      </c>
      <c r="D16" s="45">
        <v>111101</v>
      </c>
      <c r="E16" s="45" t="s">
        <v>0</v>
      </c>
      <c r="F16" s="46">
        <v>1143051.5760000001</v>
      </c>
      <c r="G16" s="47">
        <v>2042000000</v>
      </c>
    </row>
    <row r="17" spans="2:7" x14ac:dyDescent="0.2">
      <c r="B17" s="31" t="str">
        <f t="shared" si="0"/>
        <v>204200000088</v>
      </c>
      <c r="C17" s="45" t="s">
        <v>62</v>
      </c>
      <c r="D17" s="45">
        <v>88</v>
      </c>
      <c r="E17" s="45" t="s">
        <v>31</v>
      </c>
      <c r="F17" s="46">
        <v>239379.61800000002</v>
      </c>
      <c r="G17" s="47">
        <v>2042000000</v>
      </c>
    </row>
    <row r="18" spans="2:7" x14ac:dyDescent="0.2">
      <c r="B18" s="31" t="str">
        <f t="shared" si="0"/>
        <v>2045000000111101</v>
      </c>
      <c r="C18" s="45" t="s">
        <v>63</v>
      </c>
      <c r="D18" s="45">
        <v>111101</v>
      </c>
      <c r="E18" s="45" t="s">
        <v>0</v>
      </c>
      <c r="F18" s="46">
        <v>104913.8</v>
      </c>
      <c r="G18" s="47">
        <v>2045000000</v>
      </c>
    </row>
    <row r="19" spans="2:7" x14ac:dyDescent="0.2">
      <c r="B19" s="31" t="str">
        <f t="shared" si="0"/>
        <v>2051210000111101</v>
      </c>
      <c r="C19" s="45" t="s">
        <v>64</v>
      </c>
      <c r="D19" s="45">
        <v>111101</v>
      </c>
      <c r="E19" s="45" t="s">
        <v>0</v>
      </c>
      <c r="F19" s="46">
        <v>2003262.2180000001</v>
      </c>
      <c r="G19" s="47">
        <v>2051210000</v>
      </c>
    </row>
    <row r="20" spans="2:7" x14ac:dyDescent="0.2">
      <c r="B20" s="31" t="str">
        <f t="shared" si="0"/>
        <v>20512100001</v>
      </c>
      <c r="C20" s="45" t="s">
        <v>64</v>
      </c>
      <c r="D20" s="45">
        <v>1</v>
      </c>
      <c r="E20" s="45" t="s">
        <v>0</v>
      </c>
      <c r="F20" s="46">
        <v>41981.296000000002</v>
      </c>
      <c r="G20" s="47">
        <v>2051210000</v>
      </c>
    </row>
    <row r="21" spans="2:7" x14ac:dyDescent="0.2">
      <c r="B21" s="31" t="str">
        <f t="shared" si="0"/>
        <v>20690100001</v>
      </c>
      <c r="C21" s="45" t="s">
        <v>65</v>
      </c>
      <c r="D21" s="45" t="s">
        <v>3</v>
      </c>
      <c r="E21" s="45" t="s">
        <v>39</v>
      </c>
      <c r="F21" s="46">
        <v>-2156147.4</v>
      </c>
      <c r="G21" s="47">
        <v>2069010000</v>
      </c>
    </row>
    <row r="22" spans="2:7" x14ac:dyDescent="0.2">
      <c r="B22" s="31" t="str">
        <f t="shared" si="0"/>
        <v>206901000014</v>
      </c>
      <c r="C22" s="45" t="s">
        <v>65</v>
      </c>
      <c r="D22" s="45">
        <v>14</v>
      </c>
      <c r="E22" s="45" t="s">
        <v>40</v>
      </c>
      <c r="F22" s="46">
        <v>-291428.55199999997</v>
      </c>
      <c r="G22" s="47">
        <v>2069010000</v>
      </c>
    </row>
    <row r="23" spans="2:7" x14ac:dyDescent="0.2">
      <c r="B23" s="31" t="str">
        <f t="shared" si="0"/>
        <v>20690100001037</v>
      </c>
      <c r="C23" s="45" t="s">
        <v>65</v>
      </c>
      <c r="D23" s="45">
        <v>1037</v>
      </c>
      <c r="E23" s="45" t="s">
        <v>45</v>
      </c>
      <c r="F23" s="46">
        <v>0</v>
      </c>
      <c r="G23" s="47">
        <v>2069010000</v>
      </c>
    </row>
    <row r="24" spans="2:7" x14ac:dyDescent="0.2">
      <c r="B24" s="31" t="str">
        <f t="shared" si="0"/>
        <v>20690100001087</v>
      </c>
      <c r="C24" s="45" t="s">
        <v>65</v>
      </c>
      <c r="D24" s="45" t="s">
        <v>4</v>
      </c>
      <c r="E24" s="45" t="s">
        <v>44</v>
      </c>
      <c r="F24" s="46">
        <v>-33736.5</v>
      </c>
      <c r="G24" s="47">
        <v>2069010000</v>
      </c>
    </row>
    <row r="25" spans="2:7" x14ac:dyDescent="0.2">
      <c r="B25" s="31" t="str">
        <f t="shared" si="0"/>
        <v>20690100001009</v>
      </c>
      <c r="C25" s="45" t="s">
        <v>65</v>
      </c>
      <c r="D25" s="45">
        <v>1009</v>
      </c>
      <c r="E25" s="45" t="s">
        <v>34</v>
      </c>
      <c r="F25" s="46">
        <v>0</v>
      </c>
      <c r="G25" s="47">
        <v>2069010000</v>
      </c>
    </row>
    <row r="26" spans="2:7" x14ac:dyDescent="0.2">
      <c r="B26" s="31" t="str">
        <f t="shared" si="0"/>
        <v>20690100001007</v>
      </c>
      <c r="C26" s="45" t="s">
        <v>65</v>
      </c>
      <c r="D26" s="45">
        <v>1007</v>
      </c>
      <c r="E26" s="45" t="s">
        <v>36</v>
      </c>
      <c r="F26" s="46">
        <v>0</v>
      </c>
      <c r="G26" s="47">
        <v>2069010000</v>
      </c>
    </row>
    <row r="27" spans="2:7" x14ac:dyDescent="0.2">
      <c r="B27" s="31" t="str">
        <f t="shared" si="0"/>
        <v>20690100001008</v>
      </c>
      <c r="C27" s="45" t="s">
        <v>65</v>
      </c>
      <c r="D27" s="45">
        <v>1008</v>
      </c>
      <c r="E27" s="45" t="s">
        <v>38</v>
      </c>
      <c r="F27" s="46">
        <v>0</v>
      </c>
      <c r="G27" s="47">
        <v>2069010000</v>
      </c>
    </row>
    <row r="28" spans="2:7" x14ac:dyDescent="0.2">
      <c r="B28" s="31" t="str">
        <f t="shared" si="0"/>
        <v>20690100001240</v>
      </c>
      <c r="C28" s="45" t="s">
        <v>65</v>
      </c>
      <c r="D28" s="45">
        <v>1240</v>
      </c>
      <c r="E28" s="45" t="s">
        <v>43</v>
      </c>
      <c r="F28" s="46">
        <v>-199600.4</v>
      </c>
      <c r="G28" s="47">
        <v>2069010000</v>
      </c>
    </row>
    <row r="29" spans="2:7" x14ac:dyDescent="0.2">
      <c r="B29" s="31" t="str">
        <f t="shared" si="0"/>
        <v>2069010000111111</v>
      </c>
      <c r="C29" s="45" t="s">
        <v>65</v>
      </c>
      <c r="D29" s="45">
        <v>111111</v>
      </c>
      <c r="E29" s="45" t="s">
        <v>88</v>
      </c>
      <c r="F29" s="46">
        <v>-539141.4</v>
      </c>
      <c r="G29" s="47">
        <v>2069010000</v>
      </c>
    </row>
    <row r="30" spans="2:7" x14ac:dyDescent="0.2">
      <c r="B30" s="31" t="str">
        <f t="shared" si="0"/>
        <v>2069980000111111</v>
      </c>
      <c r="C30" s="45" t="s">
        <v>66</v>
      </c>
      <c r="D30" s="45">
        <v>111111</v>
      </c>
      <c r="E30" s="45" t="s">
        <v>88</v>
      </c>
      <c r="F30" s="46">
        <v>-57.221999999999994</v>
      </c>
      <c r="G30" s="47">
        <v>2069980000</v>
      </c>
    </row>
    <row r="31" spans="2:7" x14ac:dyDescent="0.2">
      <c r="B31" s="31" t="str">
        <f t="shared" si="0"/>
        <v>2070400000111111</v>
      </c>
      <c r="C31" s="45" t="s">
        <v>67</v>
      </c>
      <c r="D31" s="45">
        <v>111111</v>
      </c>
      <c r="E31" s="45" t="s">
        <v>88</v>
      </c>
      <c r="F31" s="46">
        <v>22314.879999999997</v>
      </c>
      <c r="G31" s="47">
        <v>2070400000</v>
      </c>
    </row>
    <row r="32" spans="2:7" x14ac:dyDescent="0.2">
      <c r="B32" s="31" t="str">
        <f t="shared" si="0"/>
        <v>207050000088</v>
      </c>
      <c r="C32" s="45" t="s">
        <v>68</v>
      </c>
      <c r="D32" s="45">
        <v>88</v>
      </c>
      <c r="E32" s="45" t="s">
        <v>31</v>
      </c>
      <c r="F32" s="46">
        <v>204000</v>
      </c>
      <c r="G32" s="47">
        <v>2070500000</v>
      </c>
    </row>
    <row r="33" spans="2:7" x14ac:dyDescent="0.2">
      <c r="B33" s="31" t="str">
        <f t="shared" si="0"/>
        <v>2070500000111111</v>
      </c>
      <c r="C33" s="45" t="s">
        <v>68</v>
      </c>
      <c r="D33" s="45">
        <v>111111</v>
      </c>
      <c r="E33" s="45" t="s">
        <v>88</v>
      </c>
      <c r="F33" s="46">
        <v>138.41399999999999</v>
      </c>
      <c r="G33" s="47">
        <v>2070500000</v>
      </c>
    </row>
    <row r="34" spans="2:7" x14ac:dyDescent="0.2">
      <c r="B34" s="31" t="str">
        <f t="shared" si="0"/>
        <v>2070600000111111</v>
      </c>
      <c r="C34" s="45" t="s">
        <v>69</v>
      </c>
      <c r="D34" s="45">
        <v>111111</v>
      </c>
      <c r="E34" s="45" t="s">
        <v>88</v>
      </c>
      <c r="F34" s="46">
        <v>1127445.872</v>
      </c>
      <c r="G34" s="47">
        <v>2070600000</v>
      </c>
    </row>
    <row r="35" spans="2:7" x14ac:dyDescent="0.2">
      <c r="B35" s="31" t="str">
        <f t="shared" si="0"/>
        <v>207090000043</v>
      </c>
      <c r="C35" s="45" t="s">
        <v>70</v>
      </c>
      <c r="D35" s="45" t="s">
        <v>5</v>
      </c>
      <c r="E35" s="45" t="s">
        <v>41</v>
      </c>
      <c r="F35" s="46">
        <v>133722</v>
      </c>
      <c r="G35" s="47">
        <v>2070900000</v>
      </c>
    </row>
    <row r="36" spans="2:7" x14ac:dyDescent="0.2">
      <c r="B36" s="31" t="str">
        <f t="shared" si="0"/>
        <v>20709000002240</v>
      </c>
      <c r="C36" s="45" t="s">
        <v>70</v>
      </c>
      <c r="D36" s="45" t="s">
        <v>6</v>
      </c>
      <c r="E36" s="45" t="s">
        <v>42</v>
      </c>
      <c r="F36" s="46">
        <v>328061.886</v>
      </c>
      <c r="G36" s="47">
        <v>2070900000</v>
      </c>
    </row>
    <row r="37" spans="2:7" x14ac:dyDescent="0.2">
      <c r="B37" s="31" t="str">
        <f t="shared" si="0"/>
        <v>2070900000111111</v>
      </c>
      <c r="C37" s="45" t="s">
        <v>70</v>
      </c>
      <c r="D37" s="45">
        <v>111111</v>
      </c>
      <c r="E37" s="45" t="s">
        <v>88</v>
      </c>
      <c r="F37" s="46">
        <v>2081304.3219999997</v>
      </c>
      <c r="G37" s="47">
        <v>2070900000</v>
      </c>
    </row>
    <row r="38" spans="2:7" x14ac:dyDescent="0.2">
      <c r="B38" s="31" t="str">
        <f t="shared" si="0"/>
        <v>2071000000111111</v>
      </c>
      <c r="C38" s="45" t="s">
        <v>7</v>
      </c>
      <c r="D38" s="45">
        <v>111111</v>
      </c>
      <c r="E38" s="45" t="s">
        <v>88</v>
      </c>
      <c r="F38" s="46">
        <v>33410.031999999999</v>
      </c>
      <c r="G38" s="47">
        <v>2071000000</v>
      </c>
    </row>
    <row r="39" spans="2:7" x14ac:dyDescent="0.2">
      <c r="B39" s="31" t="str">
        <f t="shared" si="0"/>
        <v>2071100000111111</v>
      </c>
      <c r="C39" s="45" t="s">
        <v>71</v>
      </c>
      <c r="D39" s="45">
        <v>111111</v>
      </c>
      <c r="E39" s="45" t="s">
        <v>88</v>
      </c>
      <c r="F39" s="46">
        <v>213090.85199999998</v>
      </c>
      <c r="G39" s="47">
        <v>2071100000</v>
      </c>
    </row>
    <row r="40" spans="2:7" x14ac:dyDescent="0.2">
      <c r="B40" s="31" t="str">
        <f t="shared" si="0"/>
        <v>2071209200111111</v>
      </c>
      <c r="C40" s="45" t="s">
        <v>8</v>
      </c>
      <c r="D40" s="45">
        <v>111111</v>
      </c>
      <c r="E40" s="45" t="s">
        <v>88</v>
      </c>
      <c r="F40" s="46">
        <v>1813525.004</v>
      </c>
      <c r="G40" s="47">
        <v>2071209200</v>
      </c>
    </row>
    <row r="41" spans="2:7" x14ac:dyDescent="0.2">
      <c r="B41" s="31" t="str">
        <f t="shared" si="0"/>
        <v>2071209400111111</v>
      </c>
      <c r="C41" s="45" t="s">
        <v>72</v>
      </c>
      <c r="D41" s="45">
        <v>111111</v>
      </c>
      <c r="E41" s="45" t="s">
        <v>88</v>
      </c>
      <c r="F41" s="46">
        <v>5552.2</v>
      </c>
      <c r="G41" s="47">
        <v>2071209400</v>
      </c>
    </row>
    <row r="42" spans="2:7" x14ac:dyDescent="0.2">
      <c r="B42" s="31" t="str">
        <f t="shared" si="0"/>
        <v>2071209500111111</v>
      </c>
      <c r="C42" s="45" t="s">
        <v>73</v>
      </c>
      <c r="D42" s="45">
        <v>111111</v>
      </c>
      <c r="E42" s="45" t="s">
        <v>88</v>
      </c>
      <c r="F42" s="46">
        <v>43868.975999999995</v>
      </c>
      <c r="G42" s="47">
        <v>2071209500</v>
      </c>
    </row>
    <row r="43" spans="2:7" x14ac:dyDescent="0.2">
      <c r="B43" s="31" t="str">
        <f t="shared" si="0"/>
        <v>2071980000111101</v>
      </c>
      <c r="C43" s="45" t="s">
        <v>74</v>
      </c>
      <c r="D43" s="45">
        <v>111101</v>
      </c>
      <c r="E43" s="45" t="s">
        <v>0</v>
      </c>
      <c r="F43" s="46">
        <v>10934.671999999999</v>
      </c>
      <c r="G43" s="47">
        <v>2071980000</v>
      </c>
    </row>
    <row r="44" spans="2:7" x14ac:dyDescent="0.2">
      <c r="B44" s="31" t="str">
        <f t="shared" si="0"/>
        <v>2079022000111111</v>
      </c>
      <c r="C44" s="45" t="s">
        <v>75</v>
      </c>
      <c r="D44" s="45">
        <v>111111</v>
      </c>
      <c r="E44" s="45" t="s">
        <v>88</v>
      </c>
      <c r="F44" s="46">
        <v>20400</v>
      </c>
      <c r="G44" s="47">
        <v>2079022000</v>
      </c>
    </row>
    <row r="45" spans="2:7" x14ac:dyDescent="0.2">
      <c r="B45" s="31" t="str">
        <f t="shared" si="0"/>
        <v>2079070000105</v>
      </c>
      <c r="C45" s="45" t="s">
        <v>76</v>
      </c>
      <c r="D45" s="45">
        <v>105</v>
      </c>
      <c r="E45" s="45" t="s">
        <v>32</v>
      </c>
      <c r="F45" s="46">
        <v>0</v>
      </c>
      <c r="G45" s="47">
        <v>2079070000</v>
      </c>
    </row>
    <row r="46" spans="2:7" x14ac:dyDescent="0.2">
      <c r="B46" s="31" t="str">
        <f t="shared" si="0"/>
        <v>2079070000111111</v>
      </c>
      <c r="C46" s="45" t="s">
        <v>76</v>
      </c>
      <c r="D46" s="45">
        <v>111111</v>
      </c>
      <c r="E46" s="45" t="s">
        <v>88</v>
      </c>
      <c r="F46" s="46">
        <v>563918.152</v>
      </c>
      <c r="G46" s="47">
        <v>2079070000</v>
      </c>
    </row>
    <row r="47" spans="2:7" x14ac:dyDescent="0.2">
      <c r="B47" s="31" t="str">
        <f t="shared" si="0"/>
        <v>20790800001009</v>
      </c>
      <c r="C47" s="45" t="s">
        <v>77</v>
      </c>
      <c r="D47" s="45">
        <v>1009</v>
      </c>
      <c r="E47" s="45" t="s">
        <v>34</v>
      </c>
      <c r="F47" s="46">
        <v>0</v>
      </c>
      <c r="G47" s="47">
        <v>2079080000</v>
      </c>
    </row>
    <row r="48" spans="2:7" x14ac:dyDescent="0.2">
      <c r="B48" s="31" t="str">
        <f t="shared" si="0"/>
        <v>20790800001007</v>
      </c>
      <c r="C48" s="45" t="s">
        <v>77</v>
      </c>
      <c r="D48" s="45">
        <v>1007</v>
      </c>
      <c r="E48" s="45" t="s">
        <v>36</v>
      </c>
      <c r="F48" s="46">
        <v>0</v>
      </c>
      <c r="G48" s="47">
        <v>2079080000</v>
      </c>
    </row>
    <row r="49" spans="2:7" x14ac:dyDescent="0.2">
      <c r="B49" s="31" t="str">
        <f t="shared" si="0"/>
        <v>20790800001008</v>
      </c>
      <c r="C49" s="45" t="s">
        <v>77</v>
      </c>
      <c r="D49" s="45">
        <v>1008</v>
      </c>
      <c r="E49" s="45" t="s">
        <v>38</v>
      </c>
      <c r="F49" s="46">
        <v>0</v>
      </c>
      <c r="G49" s="47">
        <v>2079080000</v>
      </c>
    </row>
    <row r="50" spans="2:7" x14ac:dyDescent="0.2">
      <c r="B50" s="31" t="str">
        <f t="shared" si="0"/>
        <v>20822800001009</v>
      </c>
      <c r="C50" s="45" t="s">
        <v>78</v>
      </c>
      <c r="D50" s="45">
        <v>1009</v>
      </c>
      <c r="E50" s="45" t="s">
        <v>34</v>
      </c>
      <c r="F50" s="46">
        <v>0</v>
      </c>
      <c r="G50" s="47">
        <v>2082280000</v>
      </c>
    </row>
    <row r="51" spans="2:7" x14ac:dyDescent="0.2">
      <c r="B51" s="31" t="str">
        <f t="shared" si="0"/>
        <v>20822800001007</v>
      </c>
      <c r="C51" s="45" t="s">
        <v>78</v>
      </c>
      <c r="D51" s="45">
        <v>1007</v>
      </c>
      <c r="E51" s="45" t="s">
        <v>36</v>
      </c>
      <c r="F51" s="46">
        <v>0</v>
      </c>
      <c r="G51" s="47">
        <v>2082280000</v>
      </c>
    </row>
    <row r="52" spans="2:7" x14ac:dyDescent="0.2">
      <c r="B52" s="31" t="str">
        <f t="shared" si="0"/>
        <v>20822800001008</v>
      </c>
      <c r="C52" s="45" t="s">
        <v>78</v>
      </c>
      <c r="D52" s="45">
        <v>1008</v>
      </c>
      <c r="E52" s="45" t="s">
        <v>38</v>
      </c>
      <c r="F52" s="46">
        <v>0</v>
      </c>
      <c r="G52" s="47">
        <v>2082280000</v>
      </c>
    </row>
    <row r="53" spans="2:7" x14ac:dyDescent="0.2">
      <c r="B53" s="31" t="str">
        <f t="shared" si="0"/>
        <v>20822800001240</v>
      </c>
      <c r="C53" s="45" t="s">
        <v>78</v>
      </c>
      <c r="D53" s="45">
        <v>1240</v>
      </c>
      <c r="E53" s="45" t="s">
        <v>43</v>
      </c>
      <c r="F53" s="46">
        <v>-35810.228000000003</v>
      </c>
      <c r="G53" s="47">
        <v>2082280000</v>
      </c>
    </row>
    <row r="54" spans="2:7" x14ac:dyDescent="0.2">
      <c r="B54" s="31" t="str">
        <f t="shared" si="0"/>
        <v>2082280000111111</v>
      </c>
      <c r="C54" s="45" t="s">
        <v>78</v>
      </c>
      <c r="D54" s="45">
        <v>111111</v>
      </c>
      <c r="E54" s="45" t="s">
        <v>88</v>
      </c>
      <c r="F54" s="46">
        <v>-51927.417999999998</v>
      </c>
      <c r="G54" s="47">
        <v>2082280000</v>
      </c>
    </row>
    <row r="55" spans="2:7" x14ac:dyDescent="0.2">
      <c r="B55" s="31" t="str">
        <f t="shared" si="0"/>
        <v>2082202000111101</v>
      </c>
      <c r="C55" s="45" t="s">
        <v>9</v>
      </c>
      <c r="D55" s="45">
        <v>111101</v>
      </c>
      <c r="E55" s="45" t="s">
        <v>0</v>
      </c>
      <c r="F55" s="46">
        <v>-862270.63399999996</v>
      </c>
      <c r="G55" s="47">
        <v>2082202000</v>
      </c>
    </row>
    <row r="56" spans="2:7" x14ac:dyDescent="0.2">
      <c r="B56" s="31" t="str">
        <f t="shared" si="0"/>
        <v>2082208200111101</v>
      </c>
      <c r="C56" s="45" t="s">
        <v>79</v>
      </c>
      <c r="D56" s="45">
        <v>111101</v>
      </c>
      <c r="E56" s="45" t="s">
        <v>0</v>
      </c>
      <c r="F56" s="46">
        <v>22763</v>
      </c>
      <c r="G56" s="47">
        <v>2082208200</v>
      </c>
    </row>
    <row r="57" spans="2:7" x14ac:dyDescent="0.2">
      <c r="B57" s="31" t="str">
        <f t="shared" si="0"/>
        <v>208221400088</v>
      </c>
      <c r="C57" s="45" t="s">
        <v>80</v>
      </c>
      <c r="D57" s="45">
        <v>88</v>
      </c>
      <c r="E57" s="45" t="s">
        <v>31</v>
      </c>
      <c r="F57" s="46">
        <v>2930430.0120000001</v>
      </c>
      <c r="G57" s="47">
        <v>2082214000</v>
      </c>
    </row>
    <row r="58" spans="2:7" x14ac:dyDescent="0.2">
      <c r="B58" s="31" t="str">
        <f t="shared" si="0"/>
        <v>2091200000111101</v>
      </c>
      <c r="C58" s="45" t="s">
        <v>81</v>
      </c>
      <c r="D58" s="45">
        <v>111101</v>
      </c>
      <c r="E58" s="45" t="s">
        <v>0</v>
      </c>
      <c r="F58" s="46">
        <v>-49378.641999999993</v>
      </c>
      <c r="G58" s="47">
        <v>2091200000</v>
      </c>
    </row>
    <row r="59" spans="2:7" x14ac:dyDescent="0.2">
      <c r="B59" s="31" t="str">
        <f t="shared" si="0"/>
        <v>2091200001111101</v>
      </c>
      <c r="C59" s="45" t="s">
        <v>82</v>
      </c>
      <c r="D59" s="45">
        <v>111101</v>
      </c>
      <c r="E59" s="45" t="s">
        <v>0</v>
      </c>
      <c r="F59" s="46">
        <v>516250.67</v>
      </c>
      <c r="G59" s="47">
        <v>2091200001</v>
      </c>
    </row>
    <row r="60" spans="2:7" x14ac:dyDescent="0.2">
      <c r="B60" s="31" t="str">
        <f t="shared" si="0"/>
        <v>2092200000111101</v>
      </c>
      <c r="C60" s="45" t="s">
        <v>83</v>
      </c>
      <c r="D60" s="45">
        <v>111101</v>
      </c>
      <c r="E60" s="45" t="s">
        <v>0</v>
      </c>
      <c r="F60" s="46">
        <v>21593.093999999997</v>
      </c>
      <c r="G60" s="47">
        <v>2092200000</v>
      </c>
    </row>
    <row r="61" spans="2:7" x14ac:dyDescent="0.2">
      <c r="B61" s="31" t="str">
        <f t="shared" si="0"/>
        <v>2999999999111101</v>
      </c>
      <c r="C61" s="48" t="s">
        <v>56</v>
      </c>
      <c r="D61" s="48">
        <v>111101</v>
      </c>
      <c r="E61" s="48" t="s">
        <v>0</v>
      </c>
      <c r="F61" s="49">
        <v>-2904117.9939999986</v>
      </c>
      <c r="G61" s="50">
        <v>2999999999</v>
      </c>
    </row>
    <row r="62" spans="2:7" x14ac:dyDescent="0.2">
      <c r="D62" s="5"/>
    </row>
    <row r="63" spans="2:7" x14ac:dyDescent="0.2">
      <c r="D63" s="5"/>
    </row>
    <row r="64" spans="2:7" x14ac:dyDescent="0.2">
      <c r="D64" s="5"/>
    </row>
    <row r="65" spans="4:4" x14ac:dyDescent="0.2">
      <c r="D65" s="5"/>
    </row>
    <row r="66" spans="4:4" x14ac:dyDescent="0.2">
      <c r="D66" s="5"/>
    </row>
    <row r="67" spans="4:4" x14ac:dyDescent="0.2">
      <c r="D67" s="5"/>
    </row>
    <row r="68" spans="4:4" x14ac:dyDescent="0.2">
      <c r="D68" s="5"/>
    </row>
    <row r="69" spans="4:4" x14ac:dyDescent="0.2">
      <c r="D69" s="5"/>
    </row>
    <row r="70" spans="4:4" x14ac:dyDescent="0.2">
      <c r="D70" s="5"/>
    </row>
    <row r="71" spans="4:4" x14ac:dyDescent="0.2">
      <c r="D71" s="5"/>
    </row>
    <row r="72" spans="4:4" x14ac:dyDescent="0.2">
      <c r="D72" s="5"/>
    </row>
    <row r="73" spans="4:4" x14ac:dyDescent="0.2">
      <c r="D73" s="5"/>
    </row>
    <row r="74" spans="4:4" x14ac:dyDescent="0.2">
      <c r="D74" s="5"/>
    </row>
    <row r="75" spans="4:4" x14ac:dyDescent="0.2">
      <c r="D75" s="5"/>
    </row>
    <row r="76" spans="4:4" x14ac:dyDescent="0.2">
      <c r="D76" s="5"/>
    </row>
    <row r="77" spans="4:4" x14ac:dyDescent="0.2">
      <c r="D77" s="5"/>
    </row>
    <row r="78" spans="4:4" x14ac:dyDescent="0.2">
      <c r="D78" s="5"/>
    </row>
    <row r="79" spans="4:4" x14ac:dyDescent="0.2">
      <c r="D79" s="5"/>
    </row>
    <row r="80" spans="4:4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</sheetData>
  <mergeCells count="1">
    <mergeCell ref="C1:G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9"/>
  <sheetViews>
    <sheetView workbookViewId="0">
      <selection activeCell="C1" sqref="C1:G1"/>
    </sheetView>
  </sheetViews>
  <sheetFormatPr defaultColWidth="9.140625" defaultRowHeight="12" x14ac:dyDescent="0.2"/>
  <cols>
    <col min="1" max="1" width="4.7109375" style="2" customWidth="1"/>
    <col min="2" max="2" width="17.28515625" style="2" bestFit="1" customWidth="1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8" max="16384" width="9.140625" style="2"/>
  </cols>
  <sheetData>
    <row r="1" spans="2:7" ht="15.75" x14ac:dyDescent="0.25">
      <c r="B1" s="3" t="s">
        <v>94</v>
      </c>
      <c r="C1" s="89" t="s">
        <v>247</v>
      </c>
      <c r="D1" s="89"/>
      <c r="E1" s="89"/>
      <c r="F1" s="89"/>
      <c r="G1" s="89"/>
    </row>
    <row r="4" spans="2:7" x14ac:dyDescent="0.2">
      <c r="B4" s="51" t="s">
        <v>96</v>
      </c>
      <c r="C4" s="52" t="s">
        <v>84</v>
      </c>
      <c r="D4" s="52" t="s">
        <v>30</v>
      </c>
      <c r="E4" s="52" t="s">
        <v>85</v>
      </c>
      <c r="F4" s="52" t="s">
        <v>86</v>
      </c>
      <c r="G4" s="44" t="s">
        <v>87</v>
      </c>
    </row>
    <row r="5" spans="2:7" x14ac:dyDescent="0.2">
      <c r="B5" s="31" t="s">
        <v>154</v>
      </c>
      <c r="C5" s="45" t="s">
        <v>57</v>
      </c>
      <c r="D5" s="45">
        <v>105</v>
      </c>
      <c r="E5" s="45" t="s">
        <v>32</v>
      </c>
      <c r="F5" s="46">
        <v>-355396.61499999999</v>
      </c>
      <c r="G5" s="47">
        <v>2001110000</v>
      </c>
    </row>
    <row r="6" spans="2:7" x14ac:dyDescent="0.2">
      <c r="B6" s="31" t="s">
        <v>97</v>
      </c>
      <c r="C6" s="45" t="s">
        <v>57</v>
      </c>
      <c r="D6" s="45">
        <v>111111</v>
      </c>
      <c r="E6" s="45" t="s">
        <v>88</v>
      </c>
      <c r="F6" s="46">
        <v>-15792898.75</v>
      </c>
      <c r="G6" s="47">
        <v>2001110000</v>
      </c>
    </row>
    <row r="7" spans="2:7" x14ac:dyDescent="0.2">
      <c r="B7" s="31" t="s">
        <v>98</v>
      </c>
      <c r="C7" s="45" t="s">
        <v>58</v>
      </c>
      <c r="D7" s="45">
        <v>111111</v>
      </c>
      <c r="E7" s="45" t="s">
        <v>88</v>
      </c>
      <c r="F7" s="46">
        <v>-6960217.6449999996</v>
      </c>
      <c r="G7" s="47">
        <v>2001190000</v>
      </c>
    </row>
    <row r="8" spans="2:7" x14ac:dyDescent="0.2">
      <c r="B8" s="31" t="s">
        <v>155</v>
      </c>
      <c r="C8" s="45" t="s">
        <v>59</v>
      </c>
      <c r="D8" s="45" t="s">
        <v>10</v>
      </c>
      <c r="E8" s="45" t="s">
        <v>46</v>
      </c>
      <c r="F8" s="46">
        <v>-420017.14999999997</v>
      </c>
      <c r="G8" s="47">
        <v>2020000000</v>
      </c>
    </row>
    <row r="9" spans="2:7" x14ac:dyDescent="0.2">
      <c r="B9" s="31" t="s">
        <v>100</v>
      </c>
      <c r="C9" s="45" t="s">
        <v>59</v>
      </c>
      <c r="D9" s="45">
        <v>1007</v>
      </c>
      <c r="E9" s="45" t="s">
        <v>36</v>
      </c>
      <c r="F9" s="46">
        <v>-89234.880000000005</v>
      </c>
      <c r="G9" s="47">
        <v>2020000000</v>
      </c>
    </row>
    <row r="10" spans="2:7" x14ac:dyDescent="0.2">
      <c r="B10" s="31" t="s">
        <v>101</v>
      </c>
      <c r="C10" s="45" t="s">
        <v>59</v>
      </c>
      <c r="D10" s="45">
        <v>1008</v>
      </c>
      <c r="E10" s="45" t="s">
        <v>38</v>
      </c>
      <c r="F10" s="46">
        <v>-26173</v>
      </c>
      <c r="G10" s="47">
        <v>2020000000</v>
      </c>
    </row>
    <row r="11" spans="2:7" x14ac:dyDescent="0.2">
      <c r="B11" s="31" t="s">
        <v>102</v>
      </c>
      <c r="C11" s="45" t="s">
        <v>59</v>
      </c>
      <c r="D11" s="45">
        <v>111101</v>
      </c>
      <c r="E11" s="45" t="s">
        <v>0</v>
      </c>
      <c r="F11" s="46">
        <v>-209401.92</v>
      </c>
      <c r="G11" s="47">
        <v>2020000000</v>
      </c>
    </row>
    <row r="12" spans="2:7" x14ac:dyDescent="0.2">
      <c r="B12" s="31" t="s">
        <v>156</v>
      </c>
      <c r="C12" s="45" t="s">
        <v>90</v>
      </c>
      <c r="D12" s="45">
        <v>111111</v>
      </c>
      <c r="E12" s="45" t="s">
        <v>88</v>
      </c>
      <c r="F12" s="46">
        <v>14589.33</v>
      </c>
      <c r="G12" s="47">
        <v>2021210000</v>
      </c>
    </row>
    <row r="13" spans="2:7" x14ac:dyDescent="0.2">
      <c r="B13" s="31" t="s">
        <v>103</v>
      </c>
      <c r="C13" s="45" t="s">
        <v>89</v>
      </c>
      <c r="D13" s="45">
        <v>111111</v>
      </c>
      <c r="E13" s="45" t="s">
        <v>88</v>
      </c>
      <c r="F13" s="46">
        <v>5463188.8250000002</v>
      </c>
      <c r="G13" s="47">
        <v>2021900000</v>
      </c>
    </row>
    <row r="14" spans="2:7" x14ac:dyDescent="0.2">
      <c r="B14" s="31" t="s">
        <v>104</v>
      </c>
      <c r="C14" s="45" t="s">
        <v>61</v>
      </c>
      <c r="D14" s="45">
        <v>111111</v>
      </c>
      <c r="E14" s="45" t="s">
        <v>88</v>
      </c>
      <c r="F14" s="46">
        <v>343675</v>
      </c>
      <c r="G14" s="47">
        <v>2024080000</v>
      </c>
    </row>
    <row r="15" spans="2:7" x14ac:dyDescent="0.2">
      <c r="B15" s="31" t="s">
        <v>157</v>
      </c>
      <c r="C15" s="45" t="s">
        <v>60</v>
      </c>
      <c r="D15" s="45">
        <v>19</v>
      </c>
      <c r="E15" s="45" t="s">
        <v>40</v>
      </c>
      <c r="F15" s="46">
        <v>38521</v>
      </c>
      <c r="G15" s="47">
        <v>2024090000</v>
      </c>
    </row>
    <row r="16" spans="2:7" x14ac:dyDescent="0.2">
      <c r="B16" s="31" t="s">
        <v>105</v>
      </c>
      <c r="C16" s="45" t="s">
        <v>60</v>
      </c>
      <c r="D16" s="45">
        <v>88</v>
      </c>
      <c r="E16" s="45" t="s">
        <v>31</v>
      </c>
      <c r="F16" s="46">
        <v>1980162.23</v>
      </c>
      <c r="G16" s="47">
        <v>2024090000</v>
      </c>
    </row>
    <row r="17" spans="2:7" x14ac:dyDescent="0.2">
      <c r="B17" s="31" t="s">
        <v>158</v>
      </c>
      <c r="C17" s="45" t="s">
        <v>60</v>
      </c>
      <c r="D17" s="45" t="s">
        <v>11</v>
      </c>
      <c r="E17" s="45" t="s">
        <v>33</v>
      </c>
      <c r="F17" s="46">
        <v>1820</v>
      </c>
      <c r="G17" s="47">
        <v>2024090000</v>
      </c>
    </row>
    <row r="18" spans="2:7" x14ac:dyDescent="0.2">
      <c r="B18" s="31" t="s">
        <v>159</v>
      </c>
      <c r="C18" s="45" t="s">
        <v>60</v>
      </c>
      <c r="D18" s="45" t="s">
        <v>12</v>
      </c>
      <c r="E18" s="45" t="s">
        <v>35</v>
      </c>
      <c r="F18" s="46">
        <v>10448.129999999999</v>
      </c>
      <c r="G18" s="47">
        <v>2024090000</v>
      </c>
    </row>
    <row r="19" spans="2:7" x14ac:dyDescent="0.2">
      <c r="B19" s="31" t="s">
        <v>160</v>
      </c>
      <c r="C19" s="45" t="s">
        <v>60</v>
      </c>
      <c r="D19" s="45" t="s">
        <v>13</v>
      </c>
      <c r="E19" s="45" t="s">
        <v>48</v>
      </c>
      <c r="F19" s="46">
        <v>10412.5</v>
      </c>
      <c r="G19" s="47">
        <v>2024090000</v>
      </c>
    </row>
    <row r="20" spans="2:7" x14ac:dyDescent="0.2">
      <c r="B20" s="31" t="s">
        <v>106</v>
      </c>
      <c r="C20" s="45" t="s">
        <v>60</v>
      </c>
      <c r="D20" s="45">
        <v>111111</v>
      </c>
      <c r="E20" s="45" t="s">
        <v>88</v>
      </c>
      <c r="F20" s="46">
        <v>27148.625</v>
      </c>
      <c r="G20" s="47">
        <v>2024090000</v>
      </c>
    </row>
    <row r="21" spans="2:7" x14ac:dyDescent="0.2">
      <c r="B21" s="31" t="s">
        <v>107</v>
      </c>
      <c r="C21" s="45" t="s">
        <v>1</v>
      </c>
      <c r="D21" s="45">
        <v>111111</v>
      </c>
      <c r="E21" s="45" t="s">
        <v>88</v>
      </c>
      <c r="F21" s="46">
        <v>5507141.0549999997</v>
      </c>
      <c r="G21" s="47">
        <v>2041000000</v>
      </c>
    </row>
    <row r="22" spans="2:7" x14ac:dyDescent="0.2">
      <c r="B22" s="31" t="s">
        <v>108</v>
      </c>
      <c r="C22" s="45" t="s">
        <v>2</v>
      </c>
      <c r="D22" s="45">
        <v>111101</v>
      </c>
      <c r="E22" s="45" t="s">
        <v>0</v>
      </c>
      <c r="F22" s="46">
        <v>1752994.18</v>
      </c>
      <c r="G22" s="47">
        <v>2042000000</v>
      </c>
    </row>
    <row r="23" spans="2:7" x14ac:dyDescent="0.2">
      <c r="B23" s="31" t="s">
        <v>108</v>
      </c>
      <c r="C23" s="45" t="s">
        <v>62</v>
      </c>
      <c r="D23" s="45">
        <v>111101</v>
      </c>
      <c r="E23" s="45" t="s">
        <v>0</v>
      </c>
      <c r="F23" s="46">
        <v>304303.86000000004</v>
      </c>
      <c r="G23" s="47">
        <v>2042000000</v>
      </c>
    </row>
    <row r="24" spans="2:7" x14ac:dyDescent="0.2">
      <c r="B24" s="31" t="s">
        <v>110</v>
      </c>
      <c r="C24" s="45" t="s">
        <v>63</v>
      </c>
      <c r="D24" s="45">
        <v>111101</v>
      </c>
      <c r="E24" s="45" t="s">
        <v>0</v>
      </c>
      <c r="F24" s="46">
        <v>500500</v>
      </c>
      <c r="G24" s="47">
        <v>2045000000</v>
      </c>
    </row>
    <row r="25" spans="2:7" x14ac:dyDescent="0.2">
      <c r="B25" s="31" t="s">
        <v>161</v>
      </c>
      <c r="C25" s="45" t="s">
        <v>14</v>
      </c>
      <c r="D25" s="45">
        <v>111101</v>
      </c>
      <c r="E25" s="45" t="s">
        <v>0</v>
      </c>
      <c r="F25" s="46">
        <v>6919.8499999999995</v>
      </c>
      <c r="G25" s="47">
        <v>2049000000</v>
      </c>
    </row>
    <row r="26" spans="2:7" x14ac:dyDescent="0.2">
      <c r="B26" s="31" t="s">
        <v>111</v>
      </c>
      <c r="C26" s="45" t="s">
        <v>64</v>
      </c>
      <c r="D26" s="45">
        <v>111101</v>
      </c>
      <c r="E26" s="45" t="s">
        <v>0</v>
      </c>
      <c r="F26" s="46">
        <v>1897676.87</v>
      </c>
      <c r="G26" s="47">
        <v>2051210000</v>
      </c>
    </row>
    <row r="27" spans="2:7" x14ac:dyDescent="0.2">
      <c r="B27" s="31" t="s">
        <v>162</v>
      </c>
      <c r="C27" s="45" t="s">
        <v>64</v>
      </c>
      <c r="D27" s="45">
        <v>111101</v>
      </c>
      <c r="E27" s="45" t="s">
        <v>0</v>
      </c>
      <c r="F27" s="46">
        <v>146328.94499999998</v>
      </c>
      <c r="G27" s="47">
        <v>2051260000</v>
      </c>
    </row>
    <row r="28" spans="2:7" x14ac:dyDescent="0.2">
      <c r="B28" s="31" t="s">
        <v>163</v>
      </c>
      <c r="C28" s="45" t="s">
        <v>15</v>
      </c>
      <c r="D28" s="45">
        <v>111111</v>
      </c>
      <c r="E28" s="45" t="s">
        <v>88</v>
      </c>
      <c r="F28" s="46">
        <v>-121553.07499999998</v>
      </c>
      <c r="G28" s="47">
        <v>2060220000</v>
      </c>
    </row>
    <row r="29" spans="2:7" x14ac:dyDescent="0.2">
      <c r="B29" s="31" t="s">
        <v>113</v>
      </c>
      <c r="C29" s="45" t="s">
        <v>65</v>
      </c>
      <c r="D29" s="45" t="s">
        <v>3</v>
      </c>
      <c r="E29" s="45" t="s">
        <v>39</v>
      </c>
      <c r="F29" s="46">
        <v>-1643711.145</v>
      </c>
      <c r="G29" s="47">
        <v>2069010000</v>
      </c>
    </row>
    <row r="30" spans="2:7" x14ac:dyDescent="0.2">
      <c r="B30" s="31" t="s">
        <v>164</v>
      </c>
      <c r="C30" s="45" t="s">
        <v>65</v>
      </c>
      <c r="D30" s="45">
        <v>19</v>
      </c>
      <c r="E30" s="45" t="s">
        <v>40</v>
      </c>
      <c r="F30" s="46">
        <v>-416278.66</v>
      </c>
      <c r="G30" s="47">
        <v>2069010000</v>
      </c>
    </row>
    <row r="31" spans="2:7" x14ac:dyDescent="0.2">
      <c r="B31" s="31" t="s">
        <v>165</v>
      </c>
      <c r="C31" s="45" t="s">
        <v>65</v>
      </c>
      <c r="D31" s="45" t="s">
        <v>16</v>
      </c>
      <c r="E31" s="45" t="s">
        <v>50</v>
      </c>
      <c r="F31" s="46">
        <v>-364243.84499999997</v>
      </c>
      <c r="G31" s="47">
        <v>2069010000</v>
      </c>
    </row>
    <row r="32" spans="2:7" x14ac:dyDescent="0.2">
      <c r="B32" s="31" t="s">
        <v>166</v>
      </c>
      <c r="C32" s="45" t="s">
        <v>65</v>
      </c>
      <c r="D32" s="45" t="s">
        <v>10</v>
      </c>
      <c r="E32" s="45" t="s">
        <v>46</v>
      </c>
      <c r="F32" s="46">
        <v>0</v>
      </c>
      <c r="G32" s="47">
        <v>2069010000</v>
      </c>
    </row>
    <row r="33" spans="2:7" x14ac:dyDescent="0.2">
      <c r="B33" s="31" t="s">
        <v>117</v>
      </c>
      <c r="C33" s="45" t="s">
        <v>65</v>
      </c>
      <c r="D33" s="45">
        <v>1009</v>
      </c>
      <c r="E33" s="45" t="s">
        <v>34</v>
      </c>
      <c r="F33" s="46">
        <v>0</v>
      </c>
      <c r="G33" s="47">
        <v>2069010000</v>
      </c>
    </row>
    <row r="34" spans="2:7" x14ac:dyDescent="0.2">
      <c r="B34" s="31" t="s">
        <v>118</v>
      </c>
      <c r="C34" s="45" t="s">
        <v>65</v>
      </c>
      <c r="D34" s="45">
        <v>1007</v>
      </c>
      <c r="E34" s="45" t="s">
        <v>36</v>
      </c>
      <c r="F34" s="46">
        <v>0</v>
      </c>
      <c r="G34" s="47">
        <v>2069010000</v>
      </c>
    </row>
    <row r="35" spans="2:7" x14ac:dyDescent="0.2">
      <c r="B35" s="31" t="s">
        <v>119</v>
      </c>
      <c r="C35" s="45" t="s">
        <v>65</v>
      </c>
      <c r="D35" s="45">
        <v>1008</v>
      </c>
      <c r="E35" s="45" t="s">
        <v>38</v>
      </c>
      <c r="F35" s="46">
        <v>0</v>
      </c>
      <c r="G35" s="47">
        <v>2069010000</v>
      </c>
    </row>
    <row r="36" spans="2:7" x14ac:dyDescent="0.2">
      <c r="B36" s="31" t="s">
        <v>120</v>
      </c>
      <c r="C36" s="45" t="s">
        <v>65</v>
      </c>
      <c r="D36" s="45">
        <v>1240</v>
      </c>
      <c r="E36" s="45" t="s">
        <v>43</v>
      </c>
      <c r="F36" s="46">
        <v>-10461.36</v>
      </c>
      <c r="G36" s="47">
        <v>2069010000</v>
      </c>
    </row>
    <row r="37" spans="2:7" x14ac:dyDescent="0.2">
      <c r="B37" s="31" t="s">
        <v>118</v>
      </c>
      <c r="C37" s="45" t="s">
        <v>65</v>
      </c>
      <c r="D37" s="45">
        <v>1007</v>
      </c>
      <c r="E37" s="45" t="s">
        <v>37</v>
      </c>
      <c r="F37" s="46">
        <v>0</v>
      </c>
      <c r="G37" s="47">
        <v>2069010000</v>
      </c>
    </row>
    <row r="38" spans="2:7" x14ac:dyDescent="0.2">
      <c r="B38" s="31" t="s">
        <v>167</v>
      </c>
      <c r="C38" s="45" t="s">
        <v>65</v>
      </c>
      <c r="D38" s="45" t="s">
        <v>17</v>
      </c>
      <c r="E38" s="45" t="s">
        <v>51</v>
      </c>
      <c r="F38" s="46">
        <v>-482611.04499999998</v>
      </c>
      <c r="G38" s="47">
        <v>2069010000</v>
      </c>
    </row>
    <row r="39" spans="2:7" x14ac:dyDescent="0.2">
      <c r="B39" s="31" t="s">
        <v>121</v>
      </c>
      <c r="C39" s="45" t="s">
        <v>65</v>
      </c>
      <c r="D39" s="45">
        <v>111111</v>
      </c>
      <c r="E39" s="45" t="s">
        <v>88</v>
      </c>
      <c r="F39" s="46">
        <v>-6785.94</v>
      </c>
      <c r="G39" s="47">
        <v>2069010000</v>
      </c>
    </row>
    <row r="40" spans="2:7" x14ac:dyDescent="0.2">
      <c r="B40" s="31" t="s">
        <v>168</v>
      </c>
      <c r="C40" s="45" t="s">
        <v>66</v>
      </c>
      <c r="D40" s="45">
        <v>88</v>
      </c>
      <c r="E40" s="45" t="s">
        <v>31</v>
      </c>
      <c r="F40" s="46">
        <v>-2436.35</v>
      </c>
      <c r="G40" s="47">
        <v>2069980000</v>
      </c>
    </row>
    <row r="41" spans="2:7" x14ac:dyDescent="0.2">
      <c r="B41" s="31" t="s">
        <v>122</v>
      </c>
      <c r="C41" s="45" t="s">
        <v>66</v>
      </c>
      <c r="D41" s="45">
        <v>111111</v>
      </c>
      <c r="E41" s="45" t="s">
        <v>88</v>
      </c>
      <c r="F41" s="46">
        <v>9793.84</v>
      </c>
      <c r="G41" s="47">
        <v>2069980000</v>
      </c>
    </row>
    <row r="42" spans="2:7" x14ac:dyDescent="0.2">
      <c r="B42" s="31" t="s">
        <v>169</v>
      </c>
      <c r="C42" s="45" t="s">
        <v>18</v>
      </c>
      <c r="D42" s="45">
        <v>111101</v>
      </c>
      <c r="E42" s="45" t="s">
        <v>0</v>
      </c>
      <c r="F42" s="46">
        <v>81.339999999999989</v>
      </c>
      <c r="G42" s="47">
        <v>2070290000</v>
      </c>
    </row>
    <row r="43" spans="2:7" x14ac:dyDescent="0.2">
      <c r="B43" s="31" t="s">
        <v>123</v>
      </c>
      <c r="C43" s="45" t="s">
        <v>67</v>
      </c>
      <c r="D43" s="45">
        <v>111111</v>
      </c>
      <c r="E43" s="45" t="s">
        <v>88</v>
      </c>
      <c r="F43" s="46">
        <v>65947.7</v>
      </c>
      <c r="G43" s="47">
        <v>2070400000</v>
      </c>
    </row>
    <row r="44" spans="2:7" x14ac:dyDescent="0.2">
      <c r="B44" s="31" t="s">
        <v>125</v>
      </c>
      <c r="C44" s="45" t="s">
        <v>68</v>
      </c>
      <c r="D44" s="45">
        <v>111111</v>
      </c>
      <c r="E44" s="45" t="s">
        <v>88</v>
      </c>
      <c r="F44" s="46">
        <v>5138.91</v>
      </c>
      <c r="G44" s="47">
        <v>2070500000</v>
      </c>
    </row>
    <row r="45" spans="2:7" x14ac:dyDescent="0.2">
      <c r="B45" s="31" t="s">
        <v>126</v>
      </c>
      <c r="C45" s="45" t="s">
        <v>69</v>
      </c>
      <c r="D45" s="45">
        <v>111111</v>
      </c>
      <c r="E45" s="45" t="s">
        <v>88</v>
      </c>
      <c r="F45" s="46">
        <v>1055381.4750000001</v>
      </c>
      <c r="G45" s="47">
        <v>2070600000</v>
      </c>
    </row>
    <row r="46" spans="2:7" x14ac:dyDescent="0.2">
      <c r="B46" s="31" t="s">
        <v>128</v>
      </c>
      <c r="C46" s="45" t="s">
        <v>70</v>
      </c>
      <c r="D46" s="45" t="s">
        <v>6</v>
      </c>
      <c r="E46" s="45" t="s">
        <v>42</v>
      </c>
      <c r="F46" s="46">
        <v>430845.34499999997</v>
      </c>
      <c r="G46" s="47">
        <v>2070900000</v>
      </c>
    </row>
    <row r="47" spans="2:7" x14ac:dyDescent="0.2">
      <c r="B47" s="31" t="s">
        <v>170</v>
      </c>
      <c r="C47" s="45" t="s">
        <v>70</v>
      </c>
      <c r="D47" s="45">
        <v>105</v>
      </c>
      <c r="E47" s="45" t="s">
        <v>32</v>
      </c>
      <c r="F47" s="46">
        <v>276920</v>
      </c>
      <c r="G47" s="47">
        <v>2070900000</v>
      </c>
    </row>
    <row r="48" spans="2:7" x14ac:dyDescent="0.2">
      <c r="B48" s="31" t="s">
        <v>129</v>
      </c>
      <c r="C48" s="45" t="s">
        <v>70</v>
      </c>
      <c r="D48" s="45">
        <v>111111</v>
      </c>
      <c r="E48" s="45" t="s">
        <v>88</v>
      </c>
      <c r="F48" s="46">
        <v>1130021</v>
      </c>
      <c r="G48" s="47">
        <v>2070900000</v>
      </c>
    </row>
    <row r="49" spans="2:7" x14ac:dyDescent="0.2">
      <c r="B49" s="31" t="s">
        <v>130</v>
      </c>
      <c r="C49" s="45" t="s">
        <v>7</v>
      </c>
      <c r="D49" s="45">
        <v>111111</v>
      </c>
      <c r="E49" s="45" t="s">
        <v>88</v>
      </c>
      <c r="F49" s="46">
        <v>7293.5450000000001</v>
      </c>
      <c r="G49" s="47">
        <v>2071000000</v>
      </c>
    </row>
    <row r="50" spans="2:7" x14ac:dyDescent="0.2">
      <c r="B50" s="31" t="s">
        <v>171</v>
      </c>
      <c r="C50" s="45" t="s">
        <v>71</v>
      </c>
      <c r="D50" s="45">
        <v>1900</v>
      </c>
      <c r="E50" s="45" t="s">
        <v>52</v>
      </c>
      <c r="F50" s="46">
        <v>0</v>
      </c>
      <c r="G50" s="47">
        <v>2071100000</v>
      </c>
    </row>
    <row r="51" spans="2:7" x14ac:dyDescent="0.2">
      <c r="B51" s="31" t="s">
        <v>131</v>
      </c>
      <c r="C51" s="45" t="s">
        <v>71</v>
      </c>
      <c r="D51" s="45">
        <v>111111</v>
      </c>
      <c r="E51" s="45" t="s">
        <v>88</v>
      </c>
      <c r="F51" s="46">
        <v>48468.665000000001</v>
      </c>
      <c r="G51" s="47">
        <v>2071100000</v>
      </c>
    </row>
    <row r="52" spans="2:7" x14ac:dyDescent="0.2">
      <c r="B52" s="31" t="s">
        <v>172</v>
      </c>
      <c r="C52" s="45" t="s">
        <v>8</v>
      </c>
      <c r="D52" s="45" t="s">
        <v>19</v>
      </c>
      <c r="E52" s="45" t="s">
        <v>54</v>
      </c>
      <c r="F52" s="46">
        <v>23928.799999999999</v>
      </c>
      <c r="G52" s="47">
        <v>2071209200</v>
      </c>
    </row>
    <row r="53" spans="2:7" x14ac:dyDescent="0.2">
      <c r="B53" s="31" t="s">
        <v>132</v>
      </c>
      <c r="C53" s="45" t="s">
        <v>8</v>
      </c>
      <c r="D53" s="45">
        <v>111111</v>
      </c>
      <c r="E53" s="45" t="s">
        <v>88</v>
      </c>
      <c r="F53" s="46">
        <v>2393259.19</v>
      </c>
      <c r="G53" s="47">
        <v>2071209200</v>
      </c>
    </row>
    <row r="54" spans="2:7" x14ac:dyDescent="0.2">
      <c r="B54" s="31" t="s">
        <v>133</v>
      </c>
      <c r="C54" s="45" t="s">
        <v>72</v>
      </c>
      <c r="D54" s="45">
        <v>111111</v>
      </c>
      <c r="E54" s="45" t="s">
        <v>88</v>
      </c>
      <c r="F54" s="46">
        <v>23069.654999999999</v>
      </c>
      <c r="G54" s="47">
        <v>2071209400</v>
      </c>
    </row>
    <row r="55" spans="2:7" x14ac:dyDescent="0.2">
      <c r="B55" s="31" t="s">
        <v>134</v>
      </c>
      <c r="C55" s="45" t="s">
        <v>73</v>
      </c>
      <c r="D55" s="45">
        <v>111111</v>
      </c>
      <c r="E55" s="45" t="s">
        <v>88</v>
      </c>
      <c r="F55" s="46">
        <v>208366.935</v>
      </c>
      <c r="G55" s="47">
        <v>2071209500</v>
      </c>
    </row>
    <row r="56" spans="2:7" x14ac:dyDescent="0.2">
      <c r="B56" s="31" t="s">
        <v>173</v>
      </c>
      <c r="C56" s="45" t="s">
        <v>20</v>
      </c>
      <c r="D56" s="45">
        <v>111111</v>
      </c>
      <c r="E56" s="45" t="s">
        <v>88</v>
      </c>
      <c r="F56" s="46">
        <v>308232</v>
      </c>
      <c r="G56" s="47">
        <v>2071220000</v>
      </c>
    </row>
    <row r="57" spans="2:7" x14ac:dyDescent="0.2">
      <c r="B57" s="31" t="s">
        <v>174</v>
      </c>
      <c r="C57" s="45" t="s">
        <v>21</v>
      </c>
      <c r="D57" s="45">
        <v>19</v>
      </c>
      <c r="E57" s="45" t="s">
        <v>40</v>
      </c>
      <c r="F57" s="46">
        <v>13422.779999999999</v>
      </c>
      <c r="G57" s="47">
        <v>2071511000</v>
      </c>
    </row>
    <row r="58" spans="2:7" x14ac:dyDescent="0.2">
      <c r="B58" s="31" t="s">
        <v>175</v>
      </c>
      <c r="C58" s="45" t="s">
        <v>21</v>
      </c>
      <c r="D58" s="45">
        <v>111111</v>
      </c>
      <c r="E58" s="45" t="s">
        <v>88</v>
      </c>
      <c r="F58" s="46">
        <v>4045.6150000000002</v>
      </c>
      <c r="G58" s="47">
        <v>2071511000</v>
      </c>
    </row>
    <row r="59" spans="2:7" x14ac:dyDescent="0.2">
      <c r="B59" s="31" t="s">
        <v>176</v>
      </c>
      <c r="C59" s="45" t="s">
        <v>22</v>
      </c>
      <c r="D59" s="45">
        <v>111111</v>
      </c>
      <c r="E59" s="45" t="s">
        <v>88</v>
      </c>
      <c r="F59" s="46">
        <v>49621.144999999997</v>
      </c>
      <c r="G59" s="47">
        <v>2071910000</v>
      </c>
    </row>
    <row r="60" spans="2:7" x14ac:dyDescent="0.2">
      <c r="B60" s="31" t="s">
        <v>135</v>
      </c>
      <c r="C60" s="45" t="s">
        <v>74</v>
      </c>
      <c r="D60" s="45">
        <v>111101</v>
      </c>
      <c r="E60" s="45" t="s">
        <v>0</v>
      </c>
      <c r="F60" s="46">
        <v>20323.309999999998</v>
      </c>
      <c r="G60" s="47">
        <v>2071980000</v>
      </c>
    </row>
    <row r="61" spans="2:7" x14ac:dyDescent="0.2">
      <c r="B61" s="31" t="s">
        <v>136</v>
      </c>
      <c r="C61" s="45" t="s">
        <v>75</v>
      </c>
      <c r="D61" s="45">
        <v>111111</v>
      </c>
      <c r="E61" s="45" t="s">
        <v>88</v>
      </c>
      <c r="F61" s="46">
        <v>169489</v>
      </c>
      <c r="G61" s="47">
        <v>2079022000</v>
      </c>
    </row>
    <row r="62" spans="2:7" x14ac:dyDescent="0.2">
      <c r="B62" s="31" t="s">
        <v>177</v>
      </c>
      <c r="C62" s="45" t="s">
        <v>76</v>
      </c>
      <c r="D62" s="45">
        <v>19</v>
      </c>
      <c r="E62" s="45" t="s">
        <v>40</v>
      </c>
      <c r="F62" s="46">
        <v>85462.684999999998</v>
      </c>
      <c r="G62" s="47">
        <v>2079070000</v>
      </c>
    </row>
    <row r="63" spans="2:7" x14ac:dyDescent="0.2">
      <c r="B63" s="31" t="s">
        <v>178</v>
      </c>
      <c r="C63" s="45" t="s">
        <v>76</v>
      </c>
      <c r="D63" s="45" t="s">
        <v>5</v>
      </c>
      <c r="E63" s="45" t="s">
        <v>41</v>
      </c>
      <c r="F63" s="46">
        <v>11422.144999999999</v>
      </c>
      <c r="G63" s="47">
        <v>2079070000</v>
      </c>
    </row>
    <row r="64" spans="2:7" x14ac:dyDescent="0.2">
      <c r="B64" s="31" t="s">
        <v>179</v>
      </c>
      <c r="C64" s="45" t="s">
        <v>76</v>
      </c>
      <c r="D64" s="45" t="s">
        <v>12</v>
      </c>
      <c r="E64" s="45" t="s">
        <v>35</v>
      </c>
      <c r="F64" s="46">
        <v>84438.864999999991</v>
      </c>
      <c r="G64" s="47">
        <v>2079070000</v>
      </c>
    </row>
    <row r="65" spans="2:7" x14ac:dyDescent="0.2">
      <c r="B65" s="31" t="s">
        <v>138</v>
      </c>
      <c r="C65" s="45" t="s">
        <v>76</v>
      </c>
      <c r="D65" s="45">
        <v>111111</v>
      </c>
      <c r="E65" s="45" t="s">
        <v>88</v>
      </c>
      <c r="F65" s="46">
        <v>638869.13</v>
      </c>
      <c r="G65" s="47">
        <v>2079070000</v>
      </c>
    </row>
    <row r="66" spans="2:7" x14ac:dyDescent="0.2">
      <c r="B66" s="31" t="s">
        <v>180</v>
      </c>
      <c r="C66" s="45" t="s">
        <v>77</v>
      </c>
      <c r="D66" s="45" t="s">
        <v>10</v>
      </c>
      <c r="E66" s="45" t="s">
        <v>46</v>
      </c>
      <c r="F66" s="46">
        <v>0</v>
      </c>
      <c r="G66" s="47">
        <v>2079080000</v>
      </c>
    </row>
    <row r="67" spans="2:7" x14ac:dyDescent="0.2">
      <c r="B67" s="31" t="s">
        <v>140</v>
      </c>
      <c r="C67" s="45" t="s">
        <v>77</v>
      </c>
      <c r="D67" s="45">
        <v>1007</v>
      </c>
      <c r="E67" s="45" t="s">
        <v>36</v>
      </c>
      <c r="F67" s="46">
        <v>0</v>
      </c>
      <c r="G67" s="47">
        <v>2079080000</v>
      </c>
    </row>
    <row r="68" spans="2:7" x14ac:dyDescent="0.2">
      <c r="B68" s="31" t="s">
        <v>141</v>
      </c>
      <c r="C68" s="45" t="s">
        <v>77</v>
      </c>
      <c r="D68" s="45">
        <v>1008</v>
      </c>
      <c r="E68" s="45" t="s">
        <v>38</v>
      </c>
      <c r="F68" s="46">
        <v>0</v>
      </c>
      <c r="G68" s="47">
        <v>2079080000</v>
      </c>
    </row>
    <row r="69" spans="2:7" x14ac:dyDescent="0.2">
      <c r="B69" s="31" t="s">
        <v>181</v>
      </c>
      <c r="C69" s="45" t="s">
        <v>78</v>
      </c>
      <c r="D69" s="45" t="s">
        <v>10</v>
      </c>
      <c r="E69" s="45" t="s">
        <v>46</v>
      </c>
      <c r="F69" s="46">
        <v>0</v>
      </c>
      <c r="G69" s="47">
        <v>2082280000</v>
      </c>
    </row>
    <row r="70" spans="2:7" x14ac:dyDescent="0.2">
      <c r="B70" s="31" t="s">
        <v>142</v>
      </c>
      <c r="C70" s="45" t="s">
        <v>78</v>
      </c>
      <c r="D70" s="45">
        <v>1009</v>
      </c>
      <c r="E70" s="45" t="s">
        <v>34</v>
      </c>
      <c r="F70" s="46">
        <v>0</v>
      </c>
      <c r="G70" s="47">
        <v>2082280000</v>
      </c>
    </row>
    <row r="71" spans="2:7" x14ac:dyDescent="0.2">
      <c r="B71" s="31" t="s">
        <v>143</v>
      </c>
      <c r="C71" s="45" t="s">
        <v>78</v>
      </c>
      <c r="D71" s="45">
        <v>1007</v>
      </c>
      <c r="E71" s="45" t="s">
        <v>36</v>
      </c>
      <c r="F71" s="46">
        <v>0</v>
      </c>
      <c r="G71" s="47">
        <v>2082280000</v>
      </c>
    </row>
    <row r="72" spans="2:7" x14ac:dyDescent="0.2">
      <c r="B72" s="31" t="s">
        <v>144</v>
      </c>
      <c r="C72" s="45" t="s">
        <v>78</v>
      </c>
      <c r="D72" s="45">
        <v>1008</v>
      </c>
      <c r="E72" s="45" t="s">
        <v>38</v>
      </c>
      <c r="F72" s="46">
        <v>0</v>
      </c>
      <c r="G72" s="47">
        <v>2082280000</v>
      </c>
    </row>
    <row r="73" spans="2:7" x14ac:dyDescent="0.2">
      <c r="B73" s="31" t="s">
        <v>145</v>
      </c>
      <c r="C73" s="45" t="s">
        <v>78</v>
      </c>
      <c r="D73" s="45">
        <v>1240</v>
      </c>
      <c r="E73" s="45" t="s">
        <v>43</v>
      </c>
      <c r="F73" s="46">
        <v>-34224.959999999999</v>
      </c>
      <c r="G73" s="47">
        <v>2082280000</v>
      </c>
    </row>
    <row r="74" spans="2:7" x14ac:dyDescent="0.2">
      <c r="B74" s="31" t="s">
        <v>182</v>
      </c>
      <c r="C74" s="45" t="s">
        <v>78</v>
      </c>
      <c r="D74" s="45">
        <v>1006</v>
      </c>
      <c r="E74" s="45" t="s">
        <v>53</v>
      </c>
      <c r="F74" s="46">
        <v>-6778.415</v>
      </c>
      <c r="G74" s="47">
        <v>2082280000</v>
      </c>
    </row>
    <row r="75" spans="2:7" x14ac:dyDescent="0.2">
      <c r="B75" s="31" t="s">
        <v>143</v>
      </c>
      <c r="C75" s="45" t="s">
        <v>78</v>
      </c>
      <c r="D75" s="45">
        <v>1007</v>
      </c>
      <c r="E75" s="45" t="s">
        <v>37</v>
      </c>
      <c r="F75" s="46">
        <v>0</v>
      </c>
      <c r="G75" s="47">
        <v>2082280000</v>
      </c>
    </row>
    <row r="76" spans="2:7" x14ac:dyDescent="0.2">
      <c r="B76" s="31" t="s">
        <v>146</v>
      </c>
      <c r="C76" s="45" t="s">
        <v>78</v>
      </c>
      <c r="D76" s="45">
        <v>111111</v>
      </c>
      <c r="E76" s="45" t="s">
        <v>88</v>
      </c>
      <c r="F76" s="46">
        <v>-2204.7199999999998</v>
      </c>
      <c r="G76" s="47">
        <v>2082280000</v>
      </c>
    </row>
    <row r="77" spans="2:7" x14ac:dyDescent="0.2">
      <c r="B77" s="31" t="s">
        <v>148</v>
      </c>
      <c r="C77" s="45" t="s">
        <v>79</v>
      </c>
      <c r="D77" s="45">
        <v>111101</v>
      </c>
      <c r="E77" s="45" t="s">
        <v>0</v>
      </c>
      <c r="F77" s="46">
        <v>80617.179999999993</v>
      </c>
      <c r="G77" s="47">
        <v>2082208200</v>
      </c>
    </row>
    <row r="78" spans="2:7" x14ac:dyDescent="0.2">
      <c r="B78" s="31" t="s">
        <v>149</v>
      </c>
      <c r="C78" s="45" t="s">
        <v>80</v>
      </c>
      <c r="D78" s="45">
        <v>88</v>
      </c>
      <c r="E78" s="45" t="s">
        <v>31</v>
      </c>
      <c r="F78" s="46">
        <v>2752704.22</v>
      </c>
      <c r="G78" s="47">
        <v>2082214000</v>
      </c>
    </row>
    <row r="79" spans="2:7" x14ac:dyDescent="0.2">
      <c r="B79" s="31" t="s">
        <v>183</v>
      </c>
      <c r="C79" s="45" t="s">
        <v>80</v>
      </c>
      <c r="D79" s="45">
        <v>1007</v>
      </c>
      <c r="E79" s="45" t="s">
        <v>37</v>
      </c>
      <c r="F79" s="46">
        <v>0</v>
      </c>
      <c r="G79" s="47">
        <v>2082214000</v>
      </c>
    </row>
    <row r="80" spans="2:7" x14ac:dyDescent="0.2">
      <c r="B80" s="31" t="s">
        <v>184</v>
      </c>
      <c r="C80" s="45" t="s">
        <v>80</v>
      </c>
      <c r="D80" s="45">
        <v>111111</v>
      </c>
      <c r="E80" s="45" t="s">
        <v>88</v>
      </c>
      <c r="F80" s="46">
        <v>1250.7950000000001</v>
      </c>
      <c r="G80" s="47">
        <v>2082214000</v>
      </c>
    </row>
    <row r="81" spans="2:7" x14ac:dyDescent="0.2">
      <c r="B81" s="31" t="s">
        <v>185</v>
      </c>
      <c r="C81" s="45" t="s">
        <v>91</v>
      </c>
      <c r="D81" s="45">
        <v>1240</v>
      </c>
      <c r="E81" s="45" t="s">
        <v>43</v>
      </c>
      <c r="F81" s="46">
        <v>4130000</v>
      </c>
      <c r="G81" s="47">
        <v>2082110000</v>
      </c>
    </row>
    <row r="82" spans="2:7" x14ac:dyDescent="0.2">
      <c r="B82" s="31" t="s">
        <v>150</v>
      </c>
      <c r="C82" s="45" t="s">
        <v>81</v>
      </c>
      <c r="D82" s="45">
        <v>111101</v>
      </c>
      <c r="E82" s="45" t="s">
        <v>0</v>
      </c>
      <c r="F82" s="46">
        <v>496748.70000000007</v>
      </c>
      <c r="G82" s="47">
        <v>2091200000</v>
      </c>
    </row>
    <row r="83" spans="2:7" x14ac:dyDescent="0.2">
      <c r="B83" s="31" t="s">
        <v>151</v>
      </c>
      <c r="C83" s="45" t="s">
        <v>82</v>
      </c>
      <c r="D83" s="45">
        <v>111101</v>
      </c>
      <c r="E83" s="45" t="s">
        <v>0</v>
      </c>
      <c r="F83" s="46">
        <v>480872.96000000002</v>
      </c>
      <c r="G83" s="47">
        <v>2091200001</v>
      </c>
    </row>
    <row r="84" spans="2:7" x14ac:dyDescent="0.2">
      <c r="B84" s="31" t="s">
        <v>186</v>
      </c>
      <c r="C84" s="45" t="s">
        <v>23</v>
      </c>
      <c r="D84" s="45">
        <v>111101</v>
      </c>
      <c r="E84" s="45" t="s">
        <v>0</v>
      </c>
      <c r="F84" s="46">
        <v>0</v>
      </c>
      <c r="G84" s="47">
        <v>2091900000</v>
      </c>
    </row>
    <row r="85" spans="2:7" x14ac:dyDescent="0.2">
      <c r="B85" s="31" t="s">
        <v>152</v>
      </c>
      <c r="C85" s="45" t="s">
        <v>83</v>
      </c>
      <c r="D85" s="45">
        <v>111101</v>
      </c>
      <c r="E85" s="45" t="s">
        <v>0</v>
      </c>
      <c r="F85" s="46">
        <v>6570.3050000000003</v>
      </c>
      <c r="G85" s="47">
        <v>2092200000</v>
      </c>
    </row>
    <row r="86" spans="2:7" x14ac:dyDescent="0.2">
      <c r="B86" s="36" t="s">
        <v>187</v>
      </c>
      <c r="C86" s="48" t="s">
        <v>56</v>
      </c>
      <c r="D86" s="48">
        <v>111101</v>
      </c>
      <c r="E86" s="48" t="s">
        <v>0</v>
      </c>
      <c r="F86" s="49">
        <v>6073808.1600000001</v>
      </c>
      <c r="G86" s="50">
        <v>2111111999</v>
      </c>
    </row>
    <row r="87" spans="2:7" x14ac:dyDescent="0.2">
      <c r="D87" s="5"/>
    </row>
    <row r="88" spans="2:7" x14ac:dyDescent="0.2">
      <c r="D88" s="5"/>
    </row>
    <row r="89" spans="2:7" x14ac:dyDescent="0.2">
      <c r="D89" s="5"/>
    </row>
    <row r="90" spans="2:7" x14ac:dyDescent="0.2">
      <c r="D90" s="5"/>
    </row>
    <row r="91" spans="2:7" x14ac:dyDescent="0.2">
      <c r="D91" s="5"/>
    </row>
    <row r="92" spans="2:7" x14ac:dyDescent="0.2">
      <c r="D92" s="5"/>
    </row>
    <row r="93" spans="2:7" x14ac:dyDescent="0.2">
      <c r="D93" s="5"/>
    </row>
    <row r="94" spans="2:7" x14ac:dyDescent="0.2">
      <c r="D94" s="5"/>
    </row>
    <row r="95" spans="2:7" x14ac:dyDescent="0.2">
      <c r="D95" s="5"/>
    </row>
    <row r="96" spans="2:7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  <row r="118" spans="4:4" x14ac:dyDescent="0.2">
      <c r="D118" s="5"/>
    </row>
    <row r="119" spans="4:4" x14ac:dyDescent="0.2">
      <c r="D119" s="5"/>
    </row>
    <row r="120" spans="4:4" x14ac:dyDescent="0.2">
      <c r="D120" s="5"/>
    </row>
    <row r="121" spans="4:4" x14ac:dyDescent="0.2">
      <c r="D121" s="5"/>
    </row>
    <row r="122" spans="4:4" x14ac:dyDescent="0.2">
      <c r="D122" s="5"/>
    </row>
    <row r="123" spans="4:4" x14ac:dyDescent="0.2">
      <c r="D123" s="5"/>
    </row>
    <row r="124" spans="4:4" x14ac:dyDescent="0.2">
      <c r="D124" s="5"/>
    </row>
    <row r="125" spans="4:4" x14ac:dyDescent="0.2">
      <c r="D125" s="5"/>
    </row>
    <row r="126" spans="4:4" x14ac:dyDescent="0.2">
      <c r="D126" s="5"/>
    </row>
    <row r="127" spans="4:4" x14ac:dyDescent="0.2">
      <c r="D127" s="5"/>
    </row>
    <row r="128" spans="4:4" x14ac:dyDescent="0.2">
      <c r="D128" s="5"/>
    </row>
    <row r="129" spans="4:4" x14ac:dyDescent="0.2">
      <c r="D129" s="5"/>
    </row>
  </sheetData>
  <mergeCells count="1">
    <mergeCell ref="C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117"/>
  <sheetViews>
    <sheetView workbookViewId="0">
      <selection activeCell="C1" sqref="C1:G1"/>
    </sheetView>
  </sheetViews>
  <sheetFormatPr defaultColWidth="9.140625" defaultRowHeight="12" x14ac:dyDescent="0.2"/>
  <cols>
    <col min="1" max="1" width="6.7109375" style="2" customWidth="1"/>
    <col min="2" max="2" width="17.28515625" style="2" bestFit="1" customWidth="1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4.5703125" style="2" bestFit="1" customWidth="1"/>
    <col min="8" max="16384" width="9.140625" style="2"/>
  </cols>
  <sheetData>
    <row r="1" spans="2:7" ht="15.75" x14ac:dyDescent="0.25">
      <c r="B1" s="3" t="s">
        <v>95</v>
      </c>
      <c r="C1" s="89" t="s">
        <v>247</v>
      </c>
      <c r="D1" s="89"/>
      <c r="E1" s="89"/>
      <c r="F1" s="89"/>
      <c r="G1" s="89"/>
    </row>
    <row r="4" spans="2:7" x14ac:dyDescent="0.2">
      <c r="B4" s="55" t="s">
        <v>96</v>
      </c>
      <c r="C4" s="56" t="s">
        <v>84</v>
      </c>
      <c r="D4" s="56" t="s">
        <v>30</v>
      </c>
      <c r="E4" s="56" t="s">
        <v>85</v>
      </c>
      <c r="F4" s="56" t="s">
        <v>86</v>
      </c>
      <c r="G4" s="57" t="s">
        <v>87</v>
      </c>
    </row>
    <row r="5" spans="2:7" x14ac:dyDescent="0.2">
      <c r="B5" s="31" t="s">
        <v>154</v>
      </c>
      <c r="C5" s="45" t="s">
        <v>57</v>
      </c>
      <c r="D5" s="45">
        <v>105</v>
      </c>
      <c r="E5" s="45" t="s">
        <v>32</v>
      </c>
      <c r="F5" s="53">
        <v>-616462.01899999997</v>
      </c>
      <c r="G5" s="47">
        <v>2001110000</v>
      </c>
    </row>
    <row r="6" spans="2:7" x14ac:dyDescent="0.2">
      <c r="B6" s="31" t="s">
        <v>97</v>
      </c>
      <c r="C6" s="32" t="s">
        <v>57</v>
      </c>
      <c r="D6" s="45">
        <v>111111</v>
      </c>
      <c r="E6" s="32" t="s">
        <v>88</v>
      </c>
      <c r="F6" s="54">
        <v>-14431341</v>
      </c>
      <c r="G6" s="47">
        <v>2001110000</v>
      </c>
    </row>
    <row r="7" spans="2:7" x14ac:dyDescent="0.2">
      <c r="B7" s="31" t="s">
        <v>98</v>
      </c>
      <c r="C7" s="45" t="s">
        <v>58</v>
      </c>
      <c r="D7" s="45">
        <v>111111</v>
      </c>
      <c r="E7" s="45" t="s">
        <v>88</v>
      </c>
      <c r="F7" s="46">
        <v>-6373617.5140000004</v>
      </c>
      <c r="G7" s="47">
        <v>2001190000</v>
      </c>
    </row>
    <row r="8" spans="2:7" x14ac:dyDescent="0.2">
      <c r="B8" s="31" t="s">
        <v>156</v>
      </c>
      <c r="C8" s="45" t="s">
        <v>92</v>
      </c>
      <c r="D8" s="45">
        <v>111111</v>
      </c>
      <c r="E8" s="45" t="s">
        <v>88</v>
      </c>
      <c r="F8" s="46">
        <v>20504.509999999998</v>
      </c>
      <c r="G8" s="47">
        <v>2021210000</v>
      </c>
    </row>
    <row r="9" spans="2:7" x14ac:dyDescent="0.2">
      <c r="B9" s="31" t="s">
        <v>103</v>
      </c>
      <c r="C9" s="45" t="s">
        <v>89</v>
      </c>
      <c r="D9" s="45">
        <v>111111</v>
      </c>
      <c r="E9" s="45" t="s">
        <v>88</v>
      </c>
      <c r="F9" s="46">
        <v>5674152.0669999998</v>
      </c>
      <c r="G9" s="47">
        <v>2021900000</v>
      </c>
    </row>
    <row r="10" spans="2:7" x14ac:dyDescent="0.2">
      <c r="B10" s="31" t="s">
        <v>188</v>
      </c>
      <c r="C10" s="45" t="s">
        <v>24</v>
      </c>
      <c r="D10" s="45">
        <v>111111</v>
      </c>
      <c r="E10" s="45" t="s">
        <v>88</v>
      </c>
      <c r="F10" s="46">
        <v>13691.949999999999</v>
      </c>
      <c r="G10" s="47">
        <v>2024020000</v>
      </c>
    </row>
    <row r="11" spans="2:7" x14ac:dyDescent="0.2">
      <c r="B11" s="31" t="s">
        <v>104</v>
      </c>
      <c r="C11" s="45" t="s">
        <v>61</v>
      </c>
      <c r="D11" s="45">
        <v>111111</v>
      </c>
      <c r="E11" s="45" t="s">
        <v>88</v>
      </c>
      <c r="F11" s="46">
        <v>350370.99399999995</v>
      </c>
      <c r="G11" s="47">
        <v>2024080000</v>
      </c>
    </row>
    <row r="12" spans="2:7" x14ac:dyDescent="0.2">
      <c r="B12" s="31" t="s">
        <v>105</v>
      </c>
      <c r="C12" s="45" t="s">
        <v>60</v>
      </c>
      <c r="D12" s="45">
        <v>88</v>
      </c>
      <c r="E12" s="45" t="s">
        <v>31</v>
      </c>
      <c r="F12" s="46">
        <v>3116017.1540000001</v>
      </c>
      <c r="G12" s="47">
        <v>2024090000</v>
      </c>
    </row>
    <row r="13" spans="2:7" x14ac:dyDescent="0.2">
      <c r="B13" s="31" t="s">
        <v>158</v>
      </c>
      <c r="C13" s="45" t="s">
        <v>60</v>
      </c>
      <c r="D13" s="45" t="s">
        <v>11</v>
      </c>
      <c r="E13" s="45" t="s">
        <v>33</v>
      </c>
      <c r="F13" s="46">
        <v>0</v>
      </c>
      <c r="G13" s="47">
        <v>2024090000</v>
      </c>
    </row>
    <row r="14" spans="2:7" x14ac:dyDescent="0.2">
      <c r="B14" s="31" t="s">
        <v>159</v>
      </c>
      <c r="C14" s="45" t="s">
        <v>60</v>
      </c>
      <c r="D14" s="45" t="s">
        <v>12</v>
      </c>
      <c r="E14" s="45" t="s">
        <v>35</v>
      </c>
      <c r="F14" s="46">
        <v>673.34299999999985</v>
      </c>
      <c r="G14" s="47">
        <v>2024090000</v>
      </c>
    </row>
    <row r="15" spans="2:7" x14ac:dyDescent="0.2">
      <c r="B15" s="31" t="s">
        <v>189</v>
      </c>
      <c r="C15" s="45" t="s">
        <v>60</v>
      </c>
      <c r="D15" s="45" t="s">
        <v>25</v>
      </c>
      <c r="E15" s="45" t="s">
        <v>47</v>
      </c>
      <c r="F15" s="46">
        <v>192017.14499999996</v>
      </c>
      <c r="G15" s="47">
        <v>2024090000</v>
      </c>
    </row>
    <row r="16" spans="2:7" x14ac:dyDescent="0.2">
      <c r="B16" s="31" t="s">
        <v>190</v>
      </c>
      <c r="C16" s="45" t="s">
        <v>60</v>
      </c>
      <c r="D16" s="45" t="s">
        <v>6</v>
      </c>
      <c r="E16" s="45" t="s">
        <v>42</v>
      </c>
      <c r="F16" s="46">
        <v>375290.46599999996</v>
      </c>
      <c r="G16" s="47">
        <v>2024090000</v>
      </c>
    </row>
    <row r="17" spans="2:7" x14ac:dyDescent="0.2">
      <c r="B17" s="31" t="s">
        <v>191</v>
      </c>
      <c r="C17" s="45" t="s">
        <v>60</v>
      </c>
      <c r="D17" s="45">
        <v>17000</v>
      </c>
      <c r="E17" s="45" t="s">
        <v>49</v>
      </c>
      <c r="F17" s="46">
        <v>4920</v>
      </c>
      <c r="G17" s="47">
        <v>2024090000</v>
      </c>
    </row>
    <row r="18" spans="2:7" x14ac:dyDescent="0.2">
      <c r="B18" s="31" t="s">
        <v>106</v>
      </c>
      <c r="C18" s="45" t="s">
        <v>60</v>
      </c>
      <c r="D18" s="45">
        <v>111111</v>
      </c>
      <c r="E18" s="45" t="s">
        <v>88</v>
      </c>
      <c r="F18" s="46">
        <v>9783.7069999999985</v>
      </c>
      <c r="G18" s="47">
        <v>2024090000</v>
      </c>
    </row>
    <row r="19" spans="2:7" x14ac:dyDescent="0.2">
      <c r="B19" s="31" t="s">
        <v>107</v>
      </c>
      <c r="C19" s="45" t="s">
        <v>1</v>
      </c>
      <c r="D19" s="45">
        <v>111111</v>
      </c>
      <c r="E19" s="45" t="s">
        <v>88</v>
      </c>
      <c r="F19" s="46">
        <v>3982699.5329999998</v>
      </c>
      <c r="G19" s="47">
        <v>2041000000</v>
      </c>
    </row>
    <row r="20" spans="2:7" x14ac:dyDescent="0.2">
      <c r="B20" s="31" t="s">
        <v>108</v>
      </c>
      <c r="C20" s="45" t="s">
        <v>2</v>
      </c>
      <c r="D20" s="45">
        <v>111101</v>
      </c>
      <c r="E20" s="45" t="s">
        <v>0</v>
      </c>
      <c r="F20" s="46">
        <v>1420796.8209999998</v>
      </c>
      <c r="G20" s="47">
        <v>2042000000</v>
      </c>
    </row>
    <row r="21" spans="2:7" x14ac:dyDescent="0.2">
      <c r="B21" s="31" t="s">
        <v>108</v>
      </c>
      <c r="C21" s="45" t="s">
        <v>62</v>
      </c>
      <c r="D21" s="45">
        <v>111101</v>
      </c>
      <c r="E21" s="45" t="s">
        <v>0</v>
      </c>
      <c r="F21" s="46">
        <v>288891.82199999999</v>
      </c>
      <c r="G21" s="47">
        <v>2042000000</v>
      </c>
    </row>
    <row r="22" spans="2:7" x14ac:dyDescent="0.2">
      <c r="B22" s="31" t="s">
        <v>110</v>
      </c>
      <c r="C22" s="45" t="s">
        <v>63</v>
      </c>
      <c r="D22" s="45">
        <v>111101</v>
      </c>
      <c r="E22" s="45" t="s">
        <v>0</v>
      </c>
      <c r="F22" s="46">
        <v>143500</v>
      </c>
      <c r="G22" s="47">
        <v>2045000000</v>
      </c>
    </row>
    <row r="23" spans="2:7" x14ac:dyDescent="0.2">
      <c r="B23" s="31" t="s">
        <v>111</v>
      </c>
      <c r="C23" s="45" t="s">
        <v>64</v>
      </c>
      <c r="D23" s="45">
        <v>111101</v>
      </c>
      <c r="E23" s="45" t="s">
        <v>0</v>
      </c>
      <c r="F23" s="46">
        <v>1875768.159</v>
      </c>
      <c r="G23" s="47">
        <v>2051210000</v>
      </c>
    </row>
    <row r="24" spans="2:7" x14ac:dyDescent="0.2">
      <c r="B24" s="31" t="s">
        <v>162</v>
      </c>
      <c r="C24" s="45" t="s">
        <v>64</v>
      </c>
      <c r="D24" s="45">
        <v>111101</v>
      </c>
      <c r="E24" s="45" t="s">
        <v>0</v>
      </c>
      <c r="F24" s="46">
        <v>12593.355</v>
      </c>
      <c r="G24" s="47">
        <v>2051260000</v>
      </c>
    </row>
    <row r="25" spans="2:7" x14ac:dyDescent="0.2">
      <c r="B25" s="31" t="s">
        <v>192</v>
      </c>
      <c r="C25" s="45" t="s">
        <v>21</v>
      </c>
      <c r="D25" s="45" t="s">
        <v>19</v>
      </c>
      <c r="E25" s="45" t="s">
        <v>54</v>
      </c>
      <c r="F25" s="46">
        <v>0</v>
      </c>
      <c r="G25" s="47">
        <v>2060441000</v>
      </c>
    </row>
    <row r="26" spans="2:7" x14ac:dyDescent="0.2">
      <c r="B26" s="31" t="s">
        <v>193</v>
      </c>
      <c r="C26" s="45" t="s">
        <v>21</v>
      </c>
      <c r="D26" s="45">
        <v>111111</v>
      </c>
      <c r="E26" s="45" t="s">
        <v>88</v>
      </c>
      <c r="F26" s="46">
        <v>-1252.8369999999998</v>
      </c>
      <c r="G26" s="47">
        <v>2060441000</v>
      </c>
    </row>
    <row r="27" spans="2:7" x14ac:dyDescent="0.2">
      <c r="B27" s="31" t="s">
        <v>113</v>
      </c>
      <c r="C27" s="45" t="s">
        <v>65</v>
      </c>
      <c r="D27" s="45" t="s">
        <v>3</v>
      </c>
      <c r="E27" s="45" t="s">
        <v>39</v>
      </c>
      <c r="F27" s="46">
        <v>-1418521.358</v>
      </c>
      <c r="G27" s="47">
        <v>2069010000</v>
      </c>
    </row>
    <row r="28" spans="2:7" x14ac:dyDescent="0.2">
      <c r="B28" s="31" t="s">
        <v>164</v>
      </c>
      <c r="C28" s="45" t="s">
        <v>65</v>
      </c>
      <c r="D28" s="45">
        <v>19</v>
      </c>
      <c r="E28" s="45" t="s">
        <v>40</v>
      </c>
      <c r="F28" s="46">
        <v>-622966.38600000006</v>
      </c>
      <c r="G28" s="47">
        <v>2069010000</v>
      </c>
    </row>
    <row r="29" spans="2:7" x14ac:dyDescent="0.2">
      <c r="B29" s="31" t="s">
        <v>165</v>
      </c>
      <c r="C29" s="45" t="s">
        <v>65</v>
      </c>
      <c r="D29" s="45" t="s">
        <v>16</v>
      </c>
      <c r="E29" s="45" t="s">
        <v>50</v>
      </c>
      <c r="F29" s="46">
        <v>0</v>
      </c>
      <c r="G29" s="47">
        <v>2069010000</v>
      </c>
    </row>
    <row r="30" spans="2:7" x14ac:dyDescent="0.2">
      <c r="B30" s="31" t="s">
        <v>166</v>
      </c>
      <c r="C30" s="45" t="s">
        <v>65</v>
      </c>
      <c r="D30" s="45" t="s">
        <v>10</v>
      </c>
      <c r="E30" s="45" t="s">
        <v>46</v>
      </c>
      <c r="F30" s="46">
        <v>0</v>
      </c>
      <c r="G30" s="47">
        <v>2069010000</v>
      </c>
    </row>
    <row r="31" spans="2:7" x14ac:dyDescent="0.2">
      <c r="B31" s="31" t="s">
        <v>117</v>
      </c>
      <c r="C31" s="45" t="s">
        <v>65</v>
      </c>
      <c r="D31" s="45">
        <v>1009</v>
      </c>
      <c r="E31" s="45" t="s">
        <v>34</v>
      </c>
      <c r="F31" s="46">
        <v>0</v>
      </c>
      <c r="G31" s="47">
        <v>2069010000</v>
      </c>
    </row>
    <row r="32" spans="2:7" x14ac:dyDescent="0.2">
      <c r="B32" s="31" t="s">
        <v>118</v>
      </c>
      <c r="C32" s="45" t="s">
        <v>65</v>
      </c>
      <c r="D32" s="45">
        <v>1007</v>
      </c>
      <c r="E32" s="45" t="s">
        <v>36</v>
      </c>
      <c r="F32" s="46">
        <v>0</v>
      </c>
      <c r="G32" s="47">
        <v>2069010000</v>
      </c>
    </row>
    <row r="33" spans="2:7" x14ac:dyDescent="0.2">
      <c r="B33" s="31" t="s">
        <v>119</v>
      </c>
      <c r="C33" s="45" t="s">
        <v>65</v>
      </c>
      <c r="D33" s="45">
        <v>1008</v>
      </c>
      <c r="E33" s="45" t="s">
        <v>38</v>
      </c>
      <c r="F33" s="46">
        <v>0</v>
      </c>
      <c r="G33" s="47">
        <v>2069010000</v>
      </c>
    </row>
    <row r="34" spans="2:7" x14ac:dyDescent="0.2">
      <c r="B34" s="31" t="s">
        <v>120</v>
      </c>
      <c r="C34" s="45" t="s">
        <v>65</v>
      </c>
      <c r="D34" s="45">
        <v>1240</v>
      </c>
      <c r="E34" s="45" t="s">
        <v>43</v>
      </c>
      <c r="F34" s="46">
        <v>0</v>
      </c>
      <c r="G34" s="47">
        <v>2069010000</v>
      </c>
    </row>
    <row r="35" spans="2:7" x14ac:dyDescent="0.2">
      <c r="B35" s="31" t="s">
        <v>194</v>
      </c>
      <c r="C35" s="45" t="s">
        <v>65</v>
      </c>
      <c r="D35" s="45">
        <v>1006</v>
      </c>
      <c r="E35" s="45" t="s">
        <v>53</v>
      </c>
      <c r="F35" s="46">
        <v>0</v>
      </c>
      <c r="G35" s="47">
        <v>2069010000</v>
      </c>
    </row>
    <row r="36" spans="2:7" x14ac:dyDescent="0.2">
      <c r="B36" s="31" t="s">
        <v>118</v>
      </c>
      <c r="C36" s="45" t="s">
        <v>65</v>
      </c>
      <c r="D36" s="45">
        <v>1007</v>
      </c>
      <c r="E36" s="45" t="s">
        <v>37</v>
      </c>
      <c r="F36" s="46">
        <v>0</v>
      </c>
      <c r="G36" s="47">
        <v>2069010000</v>
      </c>
    </row>
    <row r="37" spans="2:7" x14ac:dyDescent="0.2">
      <c r="B37" s="31" t="s">
        <v>167</v>
      </c>
      <c r="C37" s="45" t="s">
        <v>65</v>
      </c>
      <c r="D37" s="45" t="s">
        <v>17</v>
      </c>
      <c r="E37" s="45" t="s">
        <v>51</v>
      </c>
      <c r="F37" s="46">
        <v>-1948832.1429999999</v>
      </c>
      <c r="G37" s="47">
        <v>2069010000</v>
      </c>
    </row>
    <row r="38" spans="2:7" x14ac:dyDescent="0.2">
      <c r="B38" s="31" t="s">
        <v>121</v>
      </c>
      <c r="C38" s="45" t="s">
        <v>65</v>
      </c>
      <c r="D38" s="45">
        <v>111111</v>
      </c>
      <c r="E38" s="45" t="s">
        <v>88</v>
      </c>
      <c r="F38" s="46">
        <v>-902857.84299999999</v>
      </c>
      <c r="G38" s="47">
        <v>2069010000</v>
      </c>
    </row>
    <row r="39" spans="2:7" x14ac:dyDescent="0.2">
      <c r="B39" s="31" t="s">
        <v>195</v>
      </c>
      <c r="C39" s="45" t="s">
        <v>26</v>
      </c>
      <c r="D39" s="45">
        <v>111111</v>
      </c>
      <c r="E39" s="45" t="s">
        <v>88</v>
      </c>
      <c r="F39" s="46">
        <v>-61499.999999999993</v>
      </c>
      <c r="G39" s="47">
        <v>2069020000</v>
      </c>
    </row>
    <row r="40" spans="2:7" x14ac:dyDescent="0.2">
      <c r="B40" s="31" t="s">
        <v>196</v>
      </c>
      <c r="C40" s="45" t="s">
        <v>66</v>
      </c>
      <c r="D40" s="45">
        <v>105</v>
      </c>
      <c r="E40" s="45" t="s">
        <v>32</v>
      </c>
      <c r="F40" s="46">
        <v>-30913.425999999996</v>
      </c>
      <c r="G40" s="47">
        <v>2069980000</v>
      </c>
    </row>
    <row r="41" spans="2:7" x14ac:dyDescent="0.2">
      <c r="B41" s="31" t="s">
        <v>122</v>
      </c>
      <c r="C41" s="45" t="s">
        <v>66</v>
      </c>
      <c r="D41" s="45">
        <v>111111</v>
      </c>
      <c r="E41" s="45" t="s">
        <v>88</v>
      </c>
      <c r="F41" s="46">
        <v>-15872.001999999999</v>
      </c>
      <c r="G41" s="47">
        <v>2069980000</v>
      </c>
    </row>
    <row r="42" spans="2:7" x14ac:dyDescent="0.2">
      <c r="B42" s="31" t="s">
        <v>123</v>
      </c>
      <c r="C42" s="45" t="s">
        <v>67</v>
      </c>
      <c r="D42" s="45">
        <v>111111</v>
      </c>
      <c r="E42" s="45" t="s">
        <v>88</v>
      </c>
      <c r="F42" s="46">
        <v>57.317999999999998</v>
      </c>
      <c r="G42" s="47">
        <v>2070400000</v>
      </c>
    </row>
    <row r="43" spans="2:7" x14ac:dyDescent="0.2">
      <c r="B43" s="31" t="s">
        <v>125</v>
      </c>
      <c r="C43" s="45" t="s">
        <v>68</v>
      </c>
      <c r="D43" s="45">
        <v>111111</v>
      </c>
      <c r="E43" s="45" t="s">
        <v>88</v>
      </c>
      <c r="F43" s="46">
        <v>19198.66</v>
      </c>
      <c r="G43" s="47">
        <v>2070500000</v>
      </c>
    </row>
    <row r="44" spans="2:7" x14ac:dyDescent="0.2">
      <c r="B44" s="31" t="s">
        <v>197</v>
      </c>
      <c r="C44" s="45" t="s">
        <v>69</v>
      </c>
      <c r="D44" s="45">
        <v>105</v>
      </c>
      <c r="E44" s="45" t="s">
        <v>32</v>
      </c>
      <c r="F44" s="46">
        <v>-1423120</v>
      </c>
      <c r="G44" s="47">
        <v>2070600000</v>
      </c>
    </row>
    <row r="45" spans="2:7" x14ac:dyDescent="0.2">
      <c r="B45" s="31" t="s">
        <v>126</v>
      </c>
      <c r="C45" s="45" t="s">
        <v>69</v>
      </c>
      <c r="D45" s="45">
        <v>111111</v>
      </c>
      <c r="E45" s="45" t="s">
        <v>88</v>
      </c>
      <c r="F45" s="46">
        <v>-172933.44899999999</v>
      </c>
      <c r="G45" s="47">
        <v>2070600000</v>
      </c>
    </row>
    <row r="46" spans="2:7" x14ac:dyDescent="0.2">
      <c r="B46" s="31" t="s">
        <v>170</v>
      </c>
      <c r="C46" s="45" t="s">
        <v>70</v>
      </c>
      <c r="D46" s="45">
        <v>105</v>
      </c>
      <c r="E46" s="45" t="s">
        <v>32</v>
      </c>
      <c r="F46" s="46">
        <v>473575.46100000001</v>
      </c>
      <c r="G46" s="47">
        <v>2070900000</v>
      </c>
    </row>
    <row r="47" spans="2:7" x14ac:dyDescent="0.2">
      <c r="B47" s="31" t="s">
        <v>129</v>
      </c>
      <c r="C47" s="45" t="s">
        <v>70</v>
      </c>
      <c r="D47" s="45">
        <v>111111</v>
      </c>
      <c r="E47" s="45" t="s">
        <v>88</v>
      </c>
      <c r="F47" s="46">
        <v>1481408.47</v>
      </c>
      <c r="G47" s="47">
        <v>2070900000</v>
      </c>
    </row>
    <row r="48" spans="2:7" x14ac:dyDescent="0.2">
      <c r="B48" s="31" t="s">
        <v>130</v>
      </c>
      <c r="C48" s="45" t="s">
        <v>7</v>
      </c>
      <c r="D48" s="45">
        <v>111111</v>
      </c>
      <c r="E48" s="45" t="s">
        <v>88</v>
      </c>
      <c r="F48" s="46">
        <v>40048.799999999996</v>
      </c>
      <c r="G48" s="47">
        <v>2071000000</v>
      </c>
    </row>
    <row r="49" spans="2:7" x14ac:dyDescent="0.2">
      <c r="B49" s="31" t="s">
        <v>198</v>
      </c>
      <c r="C49" s="45" t="s">
        <v>71</v>
      </c>
      <c r="D49" s="45">
        <v>88</v>
      </c>
      <c r="E49" s="45" t="s">
        <v>31</v>
      </c>
      <c r="F49" s="46">
        <v>584.66</v>
      </c>
      <c r="G49" s="47">
        <v>2071100000</v>
      </c>
    </row>
    <row r="50" spans="2:7" x14ac:dyDescent="0.2">
      <c r="B50" s="31" t="s">
        <v>131</v>
      </c>
      <c r="C50" s="45" t="s">
        <v>71</v>
      </c>
      <c r="D50" s="45">
        <v>111111</v>
      </c>
      <c r="E50" s="45" t="s">
        <v>88</v>
      </c>
      <c r="F50" s="46">
        <v>64039.82699999999</v>
      </c>
      <c r="G50" s="47">
        <v>2071100000</v>
      </c>
    </row>
    <row r="51" spans="2:7" x14ac:dyDescent="0.2">
      <c r="B51" s="31" t="s">
        <v>199</v>
      </c>
      <c r="C51" s="45" t="s">
        <v>27</v>
      </c>
      <c r="D51" s="45">
        <v>111111</v>
      </c>
      <c r="E51" s="45" t="s">
        <v>88</v>
      </c>
      <c r="F51" s="46">
        <v>1352.9999999999998</v>
      </c>
      <c r="G51" s="47">
        <v>2071209100</v>
      </c>
    </row>
    <row r="52" spans="2:7" x14ac:dyDescent="0.2">
      <c r="B52" s="31" t="s">
        <v>132</v>
      </c>
      <c r="C52" s="45" t="s">
        <v>8</v>
      </c>
      <c r="D52" s="45">
        <v>111111</v>
      </c>
      <c r="E52" s="45" t="s">
        <v>88</v>
      </c>
      <c r="F52" s="46">
        <v>2514431.8869999996</v>
      </c>
      <c r="G52" s="47">
        <v>2071209200</v>
      </c>
    </row>
    <row r="53" spans="2:7" x14ac:dyDescent="0.2">
      <c r="B53" s="31" t="s">
        <v>133</v>
      </c>
      <c r="C53" s="45" t="s">
        <v>72</v>
      </c>
      <c r="D53" s="45">
        <v>111111</v>
      </c>
      <c r="E53" s="45" t="s">
        <v>88</v>
      </c>
      <c r="F53" s="46">
        <v>4194.2999999999993</v>
      </c>
      <c r="G53" s="47">
        <v>2071209400</v>
      </c>
    </row>
    <row r="54" spans="2:7" x14ac:dyDescent="0.2">
      <c r="B54" s="31" t="s">
        <v>134</v>
      </c>
      <c r="C54" s="45" t="s">
        <v>73</v>
      </c>
      <c r="D54" s="45">
        <v>111111</v>
      </c>
      <c r="E54" s="45" t="s">
        <v>88</v>
      </c>
      <c r="F54" s="46">
        <v>106525.708</v>
      </c>
      <c r="G54" s="47">
        <v>2071209500</v>
      </c>
    </row>
    <row r="55" spans="2:7" x14ac:dyDescent="0.2">
      <c r="B55" s="31" t="s">
        <v>135</v>
      </c>
      <c r="C55" s="45" t="s">
        <v>74</v>
      </c>
      <c r="D55" s="45">
        <v>111101</v>
      </c>
      <c r="E55" s="45" t="s">
        <v>0</v>
      </c>
      <c r="F55" s="46">
        <v>109811.284</v>
      </c>
      <c r="G55" s="47">
        <v>2071980000</v>
      </c>
    </row>
    <row r="56" spans="2:7" x14ac:dyDescent="0.2">
      <c r="B56" s="31" t="s">
        <v>136</v>
      </c>
      <c r="C56" s="45" t="s">
        <v>75</v>
      </c>
      <c r="D56" s="45">
        <v>111111</v>
      </c>
      <c r="E56" s="45" t="s">
        <v>88</v>
      </c>
      <c r="F56" s="46">
        <v>61111.483999999997</v>
      </c>
      <c r="G56" s="47">
        <v>2079022000</v>
      </c>
    </row>
    <row r="57" spans="2:7" x14ac:dyDescent="0.2">
      <c r="B57" s="31" t="s">
        <v>179</v>
      </c>
      <c r="C57" s="45" t="s">
        <v>76</v>
      </c>
      <c r="D57" s="45" t="s">
        <v>12</v>
      </c>
      <c r="E57" s="45" t="s">
        <v>35</v>
      </c>
      <c r="F57" s="46">
        <v>0</v>
      </c>
      <c r="G57" s="47">
        <v>2079070000</v>
      </c>
    </row>
    <row r="58" spans="2:7" x14ac:dyDescent="0.2">
      <c r="B58" s="31" t="s">
        <v>137</v>
      </c>
      <c r="C58" s="45" t="s">
        <v>76</v>
      </c>
      <c r="D58" s="45">
        <v>105</v>
      </c>
      <c r="E58" s="45" t="s">
        <v>32</v>
      </c>
      <c r="F58" s="46">
        <v>1684415.2999999998</v>
      </c>
      <c r="G58" s="47">
        <v>2079070000</v>
      </c>
    </row>
    <row r="59" spans="2:7" x14ac:dyDescent="0.2">
      <c r="B59" s="31" t="s">
        <v>138</v>
      </c>
      <c r="C59" s="45" t="s">
        <v>76</v>
      </c>
      <c r="D59" s="45">
        <v>111111</v>
      </c>
      <c r="E59" s="45" t="s">
        <v>88</v>
      </c>
      <c r="F59" s="46">
        <v>575626.2649999999</v>
      </c>
      <c r="G59" s="47">
        <v>2079070000</v>
      </c>
    </row>
    <row r="60" spans="2:7" x14ac:dyDescent="0.2">
      <c r="B60" s="31" t="s">
        <v>180</v>
      </c>
      <c r="C60" s="45" t="s">
        <v>77</v>
      </c>
      <c r="D60" s="45" t="s">
        <v>10</v>
      </c>
      <c r="E60" s="45" t="s">
        <v>46</v>
      </c>
      <c r="F60" s="46">
        <v>0</v>
      </c>
      <c r="G60" s="47">
        <v>2079080000</v>
      </c>
    </row>
    <row r="61" spans="2:7" x14ac:dyDescent="0.2">
      <c r="B61" s="31" t="s">
        <v>140</v>
      </c>
      <c r="C61" s="45" t="s">
        <v>77</v>
      </c>
      <c r="D61" s="45">
        <v>1007</v>
      </c>
      <c r="E61" s="45" t="s">
        <v>37</v>
      </c>
      <c r="F61" s="46">
        <v>0</v>
      </c>
      <c r="G61" s="47">
        <v>2079080000</v>
      </c>
    </row>
    <row r="62" spans="2:7" x14ac:dyDescent="0.2">
      <c r="B62" s="31" t="s">
        <v>181</v>
      </c>
      <c r="C62" s="45" t="s">
        <v>78</v>
      </c>
      <c r="D62" s="45" t="s">
        <v>10</v>
      </c>
      <c r="E62" s="45" t="s">
        <v>46</v>
      </c>
      <c r="F62" s="46">
        <v>0</v>
      </c>
      <c r="G62" s="47">
        <v>2082280000</v>
      </c>
    </row>
    <row r="63" spans="2:7" x14ac:dyDescent="0.2">
      <c r="B63" s="31" t="s">
        <v>142</v>
      </c>
      <c r="C63" s="45" t="s">
        <v>78</v>
      </c>
      <c r="D63" s="45">
        <v>1009</v>
      </c>
      <c r="E63" s="45" t="s">
        <v>34</v>
      </c>
      <c r="F63" s="46">
        <v>0</v>
      </c>
      <c r="G63" s="47">
        <v>2082280000</v>
      </c>
    </row>
    <row r="64" spans="2:7" x14ac:dyDescent="0.2">
      <c r="B64" s="31" t="s">
        <v>143</v>
      </c>
      <c r="C64" s="45" t="s">
        <v>78</v>
      </c>
      <c r="D64" s="45">
        <v>1007</v>
      </c>
      <c r="E64" s="45" t="s">
        <v>36</v>
      </c>
      <c r="F64" s="46">
        <v>0</v>
      </c>
      <c r="G64" s="47">
        <v>2082280000</v>
      </c>
    </row>
    <row r="65" spans="2:7" x14ac:dyDescent="0.2">
      <c r="B65" s="31" t="s">
        <v>144</v>
      </c>
      <c r="C65" s="45" t="s">
        <v>78</v>
      </c>
      <c r="D65" s="45">
        <v>1008</v>
      </c>
      <c r="E65" s="45" t="s">
        <v>38</v>
      </c>
      <c r="F65" s="46">
        <v>0</v>
      </c>
      <c r="G65" s="47">
        <v>2082280000</v>
      </c>
    </row>
    <row r="66" spans="2:7" x14ac:dyDescent="0.2">
      <c r="B66" s="31" t="s">
        <v>145</v>
      </c>
      <c r="C66" s="45" t="s">
        <v>78</v>
      </c>
      <c r="D66" s="45">
        <v>1240</v>
      </c>
      <c r="E66" s="45" t="s">
        <v>43</v>
      </c>
      <c r="F66" s="46">
        <v>0</v>
      </c>
      <c r="G66" s="47">
        <v>2082280000</v>
      </c>
    </row>
    <row r="67" spans="2:7" x14ac:dyDescent="0.2">
      <c r="B67" s="31" t="s">
        <v>182</v>
      </c>
      <c r="C67" s="45" t="s">
        <v>78</v>
      </c>
      <c r="D67" s="45">
        <v>1006</v>
      </c>
      <c r="E67" s="45" t="s">
        <v>53</v>
      </c>
      <c r="F67" s="46">
        <v>0</v>
      </c>
      <c r="G67" s="47">
        <v>2082280000</v>
      </c>
    </row>
    <row r="68" spans="2:7" x14ac:dyDescent="0.2">
      <c r="B68" s="31" t="s">
        <v>146</v>
      </c>
      <c r="C68" s="45" t="s">
        <v>78</v>
      </c>
      <c r="D68" s="45">
        <v>111111</v>
      </c>
      <c r="E68" s="45" t="s">
        <v>88</v>
      </c>
      <c r="F68" s="46">
        <v>-73809.511999999988</v>
      </c>
      <c r="G68" s="47">
        <v>2082280000</v>
      </c>
    </row>
    <row r="69" spans="2:7" x14ac:dyDescent="0.2">
      <c r="B69" s="31" t="s">
        <v>148</v>
      </c>
      <c r="C69" s="45" t="s">
        <v>79</v>
      </c>
      <c r="D69" s="45">
        <v>111101</v>
      </c>
      <c r="E69" s="45" t="s">
        <v>0</v>
      </c>
      <c r="F69" s="46">
        <v>7173.195999999999</v>
      </c>
      <c r="G69" s="47">
        <v>2082208200</v>
      </c>
    </row>
    <row r="70" spans="2:7" x14ac:dyDescent="0.2">
      <c r="B70" s="31" t="s">
        <v>149</v>
      </c>
      <c r="C70" s="45" t="s">
        <v>80</v>
      </c>
      <c r="D70" s="45">
        <v>88</v>
      </c>
      <c r="E70" s="45" t="s">
        <v>31</v>
      </c>
      <c r="F70" s="46">
        <v>2324465.8859999999</v>
      </c>
      <c r="G70" s="47">
        <v>2082214000</v>
      </c>
    </row>
    <row r="71" spans="2:7" x14ac:dyDescent="0.2">
      <c r="B71" s="31" t="s">
        <v>183</v>
      </c>
      <c r="C71" s="45" t="s">
        <v>80</v>
      </c>
      <c r="D71" s="45">
        <v>1007</v>
      </c>
      <c r="E71" s="45" t="s">
        <v>37</v>
      </c>
      <c r="F71" s="46">
        <v>0</v>
      </c>
      <c r="G71" s="47">
        <v>2082214000</v>
      </c>
    </row>
    <row r="72" spans="2:7" x14ac:dyDescent="0.2">
      <c r="B72" s="31" t="s">
        <v>184</v>
      </c>
      <c r="C72" s="45" t="s">
        <v>80</v>
      </c>
      <c r="D72" s="45">
        <v>111111</v>
      </c>
      <c r="E72" s="45" t="s">
        <v>88</v>
      </c>
      <c r="F72" s="46">
        <v>51.454999999999998</v>
      </c>
      <c r="G72" s="47">
        <v>2082214000</v>
      </c>
    </row>
    <row r="73" spans="2:7" x14ac:dyDescent="0.2">
      <c r="B73" s="31" t="s">
        <v>200</v>
      </c>
      <c r="C73" s="45" t="s">
        <v>91</v>
      </c>
      <c r="D73" s="45">
        <v>111101</v>
      </c>
      <c r="E73" s="45" t="s">
        <v>0</v>
      </c>
      <c r="F73" s="46">
        <v>0</v>
      </c>
      <c r="G73" s="47">
        <v>2082110000</v>
      </c>
    </row>
    <row r="74" spans="2:7" x14ac:dyDescent="0.2">
      <c r="B74" s="31" t="s">
        <v>150</v>
      </c>
      <c r="C74" s="45" t="s">
        <v>81</v>
      </c>
      <c r="D74" s="45">
        <v>111101</v>
      </c>
      <c r="E74" s="45" t="s">
        <v>0</v>
      </c>
      <c r="F74" s="46">
        <v>2558.1950000000002</v>
      </c>
      <c r="G74" s="47">
        <v>2091200000</v>
      </c>
    </row>
    <row r="75" spans="2:7" x14ac:dyDescent="0.2">
      <c r="B75" s="31" t="s">
        <v>151</v>
      </c>
      <c r="C75" s="45" t="s">
        <v>82</v>
      </c>
      <c r="D75" s="45">
        <v>111101</v>
      </c>
      <c r="E75" s="45" t="s">
        <v>0</v>
      </c>
      <c r="F75" s="46">
        <v>522710.353</v>
      </c>
      <c r="G75" s="47">
        <v>2091200001</v>
      </c>
    </row>
    <row r="76" spans="2:7" x14ac:dyDescent="0.2">
      <c r="B76" s="31" t="s">
        <v>152</v>
      </c>
      <c r="C76" s="45" t="s">
        <v>83</v>
      </c>
      <c r="D76" s="45">
        <v>111101</v>
      </c>
      <c r="E76" s="45" t="s">
        <v>0</v>
      </c>
      <c r="F76" s="46">
        <v>-160303.52199999997</v>
      </c>
      <c r="G76" s="47">
        <v>2092200000</v>
      </c>
    </row>
    <row r="77" spans="2:7" x14ac:dyDescent="0.2">
      <c r="B77" s="31" t="s">
        <v>201</v>
      </c>
      <c r="C77" s="45" t="s">
        <v>28</v>
      </c>
      <c r="D77" s="45">
        <v>111101</v>
      </c>
      <c r="E77" s="45" t="s">
        <v>0</v>
      </c>
      <c r="F77" s="46">
        <v>0</v>
      </c>
      <c r="G77" s="47">
        <v>2111111997</v>
      </c>
    </row>
    <row r="78" spans="2:7" x14ac:dyDescent="0.2">
      <c r="B78" s="36" t="s">
        <v>187</v>
      </c>
      <c r="C78" s="48" t="s">
        <v>56</v>
      </c>
      <c r="D78" s="48">
        <v>111101</v>
      </c>
      <c r="E78" s="48" t="s">
        <v>0</v>
      </c>
      <c r="F78" s="49">
        <v>-779290.47600000002</v>
      </c>
      <c r="G78" s="50">
        <v>2111111999</v>
      </c>
    </row>
    <row r="79" spans="2:7" x14ac:dyDescent="0.2">
      <c r="D79" s="5"/>
    </row>
    <row r="80" spans="2:7" x14ac:dyDescent="0.2">
      <c r="D80" s="5"/>
    </row>
    <row r="81" spans="4:4" x14ac:dyDescent="0.2">
      <c r="D81" s="5"/>
    </row>
    <row r="82" spans="4:4" x14ac:dyDescent="0.2">
      <c r="D82" s="5"/>
    </row>
    <row r="83" spans="4:4" x14ac:dyDescent="0.2">
      <c r="D83" s="5"/>
    </row>
    <row r="84" spans="4:4" x14ac:dyDescent="0.2">
      <c r="D84" s="5"/>
    </row>
    <row r="85" spans="4:4" x14ac:dyDescent="0.2">
      <c r="D85" s="5"/>
    </row>
    <row r="86" spans="4:4" x14ac:dyDescent="0.2">
      <c r="D86" s="5"/>
    </row>
    <row r="87" spans="4:4" x14ac:dyDescent="0.2">
      <c r="D87" s="5"/>
    </row>
    <row r="88" spans="4:4" x14ac:dyDescent="0.2">
      <c r="D88" s="5"/>
    </row>
    <row r="89" spans="4:4" x14ac:dyDescent="0.2">
      <c r="D89" s="5"/>
    </row>
    <row r="90" spans="4:4" x14ac:dyDescent="0.2">
      <c r="D90" s="5"/>
    </row>
    <row r="91" spans="4:4" x14ac:dyDescent="0.2">
      <c r="D91" s="5"/>
    </row>
    <row r="92" spans="4:4" x14ac:dyDescent="0.2">
      <c r="D92" s="5"/>
    </row>
    <row r="93" spans="4:4" x14ac:dyDescent="0.2">
      <c r="D93" s="5"/>
    </row>
    <row r="94" spans="4:4" x14ac:dyDescent="0.2">
      <c r="D94" s="5"/>
    </row>
    <row r="95" spans="4:4" x14ac:dyDescent="0.2">
      <c r="D95" s="5"/>
    </row>
    <row r="96" spans="4:4" x14ac:dyDescent="0.2">
      <c r="D96" s="5"/>
    </row>
    <row r="97" spans="4:4" x14ac:dyDescent="0.2">
      <c r="D97" s="5"/>
    </row>
    <row r="98" spans="4:4" x14ac:dyDescent="0.2">
      <c r="D98" s="5"/>
    </row>
    <row r="99" spans="4:4" x14ac:dyDescent="0.2">
      <c r="D99" s="5"/>
    </row>
    <row r="100" spans="4:4" x14ac:dyDescent="0.2">
      <c r="D100" s="5"/>
    </row>
    <row r="101" spans="4:4" x14ac:dyDescent="0.2">
      <c r="D101" s="5"/>
    </row>
    <row r="102" spans="4:4" x14ac:dyDescent="0.2">
      <c r="D102" s="5"/>
    </row>
    <row r="103" spans="4:4" x14ac:dyDescent="0.2">
      <c r="D103" s="5"/>
    </row>
    <row r="104" spans="4:4" x14ac:dyDescent="0.2">
      <c r="D104" s="5"/>
    </row>
    <row r="105" spans="4:4" x14ac:dyDescent="0.2">
      <c r="D105" s="5"/>
    </row>
    <row r="106" spans="4:4" x14ac:dyDescent="0.2">
      <c r="D106" s="5"/>
    </row>
    <row r="107" spans="4:4" x14ac:dyDescent="0.2">
      <c r="D107" s="5"/>
    </row>
    <row r="108" spans="4:4" x14ac:dyDescent="0.2">
      <c r="D108" s="5"/>
    </row>
    <row r="109" spans="4:4" x14ac:dyDescent="0.2">
      <c r="D109" s="5"/>
    </row>
    <row r="110" spans="4:4" x14ac:dyDescent="0.2">
      <c r="D110" s="5"/>
    </row>
    <row r="111" spans="4:4" x14ac:dyDescent="0.2">
      <c r="D111" s="5"/>
    </row>
    <row r="112" spans="4:4" x14ac:dyDescent="0.2">
      <c r="D112" s="5"/>
    </row>
    <row r="113" spans="4:4" x14ac:dyDescent="0.2">
      <c r="D113" s="5"/>
    </row>
    <row r="114" spans="4:4" x14ac:dyDescent="0.2">
      <c r="D114" s="5"/>
    </row>
    <row r="115" spans="4:4" x14ac:dyDescent="0.2">
      <c r="D115" s="5"/>
    </row>
    <row r="116" spans="4:4" x14ac:dyDescent="0.2">
      <c r="D116" s="5"/>
    </row>
    <row r="117" spans="4:4" x14ac:dyDescent="0.2">
      <c r="D117" s="5"/>
    </row>
  </sheetData>
  <mergeCells count="1">
    <mergeCell ref="C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Analysis</vt:lpstr>
      <vt:lpstr>P&amp;L statement</vt:lpstr>
      <vt:lpstr>1. P&amp;L extractions --&gt;</vt:lpstr>
      <vt:lpstr>Database</vt:lpstr>
      <vt:lpstr>1.1 FY2016</vt:lpstr>
      <vt:lpstr>1.2 FY2017</vt:lpstr>
      <vt:lpstr>1.3 FY2018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2022-11-18T10:02:39Z</dcterms:modified>
</cp:coreProperties>
</file>